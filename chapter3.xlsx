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gbs22bju_uea_ac_uk/Documents/work/DNA-SIP/manuscript/"/>
    </mc:Choice>
  </mc:AlternateContent>
  <xr:revisionPtr revIDLastSave="732" documentId="8_{7CF21BF7-A0ED-5547-B04A-A2F5D0930845}" xr6:coauthVersionLast="47" xr6:coauthVersionMax="47" xr10:uidLastSave="{7CB6D4AF-4255-7E4B-844B-5BBF13288F4F}"/>
  <bookViews>
    <workbookView xWindow="0" yWindow="740" windowWidth="29400" windowHeight="18380" xr2:uid="{D25650F9-00F8-D245-9B33-0018F7ECA644}"/>
  </bookViews>
  <sheets>
    <sheet name="Table S1" sheetId="5" r:id="rId1"/>
    <sheet name="Table S2" sheetId="9" r:id="rId2"/>
    <sheet name="Table S3" sheetId="11" r:id="rId3"/>
    <sheet name="Table S4a" sheetId="1" r:id="rId4"/>
    <sheet name="Table S4b" sheetId="10" r:id="rId5"/>
    <sheet name="Table S5" sheetId="13" r:id="rId6"/>
    <sheet name="Table S6" sheetId="7" r:id="rId7"/>
  </sheets>
  <definedNames>
    <definedName name="_xlnm._FilterDatabase" localSheetId="4" hidden="1">'Table S4b'!$A$3:$AB$113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9" l="1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4" i="9"/>
  <c r="AL5" i="9"/>
  <c r="AL6" i="9"/>
  <c r="AL7" i="9"/>
  <c r="AL8" i="9"/>
  <c r="AL9" i="9"/>
  <c r="AL10" i="9"/>
  <c r="AL11" i="9"/>
  <c r="AL12" i="9"/>
  <c r="AL13" i="9"/>
  <c r="AL14" i="9"/>
  <c r="AL15" i="9"/>
  <c r="AL16" i="9"/>
  <c r="AL17" i="9"/>
  <c r="AL18" i="9"/>
  <c r="AL19" i="9"/>
  <c r="AL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4" i="9"/>
</calcChain>
</file>

<file path=xl/sharedStrings.xml><?xml version="1.0" encoding="utf-8"?>
<sst xmlns="http://schemas.openxmlformats.org/spreadsheetml/2006/main" count="2733" uniqueCount="1047">
  <si>
    <t>Gene</t>
  </si>
  <si>
    <t>acuH</t>
  </si>
  <si>
    <t>acuI</t>
  </si>
  <si>
    <t>acuN</t>
  </si>
  <si>
    <t>BCCT</t>
  </si>
  <si>
    <t>dddA</t>
  </si>
  <si>
    <t>dddB</t>
  </si>
  <si>
    <t>dddC</t>
  </si>
  <si>
    <t>dddD</t>
  </si>
  <si>
    <t>dddL</t>
  </si>
  <si>
    <t>dddP</t>
  </si>
  <si>
    <t>dddQ</t>
  </si>
  <si>
    <t>dddW</t>
  </si>
  <si>
    <t>dddX</t>
  </si>
  <si>
    <t>dddY</t>
  </si>
  <si>
    <t>dmdA</t>
  </si>
  <si>
    <t>dmdB</t>
  </si>
  <si>
    <t>dmdC</t>
  </si>
  <si>
    <t>dmdD</t>
  </si>
  <si>
    <t>dmpX</t>
  </si>
  <si>
    <t>DMSOR</t>
  </si>
  <si>
    <t>dsoB</t>
  </si>
  <si>
    <t>dsyB</t>
  </si>
  <si>
    <t>mddA</t>
  </si>
  <si>
    <t>mddH</t>
  </si>
  <si>
    <t>mmtN</t>
  </si>
  <si>
    <t>MTO</t>
  </si>
  <si>
    <t>prpE</t>
  </si>
  <si>
    <t>SAR11_1336</t>
  </si>
  <si>
    <t>tmm</t>
  </si>
  <si>
    <t>Taxonomy</t>
  </si>
  <si>
    <t>Xanthomonadales</t>
  </si>
  <si>
    <t>Woeseiales</t>
  </si>
  <si>
    <t>Rhodobacterales</t>
  </si>
  <si>
    <t>Desulfuromonadales</t>
  </si>
  <si>
    <t>Chromatiales</t>
  </si>
  <si>
    <t>ddd</t>
  </si>
  <si>
    <t>Polyangiales</t>
  </si>
  <si>
    <t>Kiloniellales</t>
  </si>
  <si>
    <t>Acidimicrobiales</t>
  </si>
  <si>
    <t>Pseudomonadales</t>
  </si>
  <si>
    <t>Rhizobiales</t>
  </si>
  <si>
    <t>Longimicrobiales</t>
  </si>
  <si>
    <t>Unclassified</t>
  </si>
  <si>
    <t>Thermoanaerobaculales</t>
  </si>
  <si>
    <t>Taxa</t>
  </si>
  <si>
    <t>Pseudomonadales; Halomonas</t>
  </si>
  <si>
    <t>Pseudomonadales; Amphritea</t>
  </si>
  <si>
    <t>SampleID</t>
  </si>
  <si>
    <t>Sample type</t>
  </si>
  <si>
    <t>Table S1 Sample information.</t>
  </si>
  <si>
    <t>Path</t>
  </si>
  <si>
    <t>P.Epi.T0.MG.1</t>
  </si>
  <si>
    <t>P.Epi.T0.MG.2</t>
  </si>
  <si>
    <t>P.Epi.T0.MG.3</t>
  </si>
  <si>
    <t>P.Epi.T0.MT.1</t>
  </si>
  <si>
    <t>P.Epi.T0.MT.2</t>
  </si>
  <si>
    <t>P.Epi.T0.MT.3</t>
  </si>
  <si>
    <t>P.Mix.13H.MG.1</t>
  </si>
  <si>
    <t>P.Mix.13H.MG.2</t>
  </si>
  <si>
    <t>P.Mix.13H.MG.3</t>
  </si>
  <si>
    <t>P.Mix.13L.MG.1</t>
  </si>
  <si>
    <t>P.Mix.13L.MG.2</t>
  </si>
  <si>
    <t>P.Mix.13L.MG.3</t>
  </si>
  <si>
    <t>R.13H.MG.1</t>
  </si>
  <si>
    <t>R.13H.MG.2</t>
  </si>
  <si>
    <t>R.13H.MG.3</t>
  </si>
  <si>
    <t>R.13L.MG.1</t>
  </si>
  <si>
    <t>R.13L.MG.2</t>
  </si>
  <si>
    <t>R.13L.MG.3</t>
  </si>
  <si>
    <t>R.T0.MG.1</t>
  </si>
  <si>
    <t>R.T0.MG.2</t>
  </si>
  <si>
    <t>R.T0.MG.3</t>
  </si>
  <si>
    <t>R.T0.MT.1</t>
  </si>
  <si>
    <t>R.T0.MT.2</t>
  </si>
  <si>
    <t>R.T0.MT.3</t>
  </si>
  <si>
    <t>DMSP cleavage/demethylation auxiliary</t>
  </si>
  <si>
    <t>DMSP cleavage auxiliary</t>
  </si>
  <si>
    <t>DMSP transport</t>
  </si>
  <si>
    <t>ddhA</t>
  </si>
  <si>
    <t>DMS to DSMO</t>
  </si>
  <si>
    <t>DMSP demethylation auxiliary</t>
  </si>
  <si>
    <t>dmoA</t>
  </si>
  <si>
    <t>DMS to MeSH</t>
  </si>
  <si>
    <t>MeSH to DMS</t>
  </si>
  <si>
    <t>MeSH to S0</t>
  </si>
  <si>
    <t>Rhizosphere</t>
  </si>
  <si>
    <t>Taxonomy (Kingdom;Phylum)</t>
  </si>
  <si>
    <t>Apicomplexa;Gregarinomorphea</t>
  </si>
  <si>
    <t>Discoba;Euglenozoa</t>
  </si>
  <si>
    <t>Fungi;Ascomycota</t>
  </si>
  <si>
    <t>Fungi;Basidiomycota</t>
  </si>
  <si>
    <t>R.T0.16D.1</t>
  </si>
  <si>
    <t>R.T0.16D.2</t>
  </si>
  <si>
    <t>R.T0.16D.3</t>
  </si>
  <si>
    <t>R.T0.16R.1</t>
  </si>
  <si>
    <t>R.T0.16R.3</t>
  </si>
  <si>
    <t>R.12T.16D.1</t>
  </si>
  <si>
    <t>R.12T.16D.2</t>
  </si>
  <si>
    <t>R.12T.16D.3</t>
  </si>
  <si>
    <t>R.12L.16D.1</t>
  </si>
  <si>
    <t>R.12L.16D.2</t>
  </si>
  <si>
    <t>R.12L.16D.3</t>
  </si>
  <si>
    <t>R.12H.16D.1</t>
  </si>
  <si>
    <t>R.12H.16D.2</t>
  </si>
  <si>
    <t>R.12H.16D.3</t>
  </si>
  <si>
    <t>R.13T.16D.1</t>
  </si>
  <si>
    <t>R.13T.16D.2</t>
  </si>
  <si>
    <t>R.13T.16D.3</t>
  </si>
  <si>
    <t>R.13L.16D.1</t>
  </si>
  <si>
    <t>R.13L.16D.2</t>
  </si>
  <si>
    <t>R.13L.16D.3</t>
  </si>
  <si>
    <t>R.13H.16D.1</t>
  </si>
  <si>
    <t>R.13H.16D.2</t>
  </si>
  <si>
    <t>R.13H.16D.3</t>
  </si>
  <si>
    <t>P.Endo.T0.16D.1</t>
  </si>
  <si>
    <t>P.Endo.T0.16D.2</t>
  </si>
  <si>
    <t>P.Endo.T0.16D.3</t>
  </si>
  <si>
    <t>P.Endo.T0.16R.1</t>
  </si>
  <si>
    <t>P.Endo.T0.16R.2</t>
  </si>
  <si>
    <t>P.Endo.T0.16R.3</t>
  </si>
  <si>
    <t>P.Epi.T0.16D.1</t>
  </si>
  <si>
    <t>P.Epi.T0.16D.2</t>
  </si>
  <si>
    <t>P.Epi.T0.16D.3</t>
  </si>
  <si>
    <t>P.Epi.T0.16R.1</t>
  </si>
  <si>
    <t>P.Epi.T0.16R.2</t>
  </si>
  <si>
    <t>P.Epi.T0.16R.3</t>
  </si>
  <si>
    <t>P.Mix.T0.16D.1</t>
  </si>
  <si>
    <t>P.Mix.T0.16D.2</t>
  </si>
  <si>
    <t>P.Mix.T0.16D.3</t>
  </si>
  <si>
    <t>P.Mix.T0.16R.1</t>
  </si>
  <si>
    <t>P.Mix.T0.16R.2</t>
  </si>
  <si>
    <t>P.Mix.T0.16R.3</t>
  </si>
  <si>
    <t>P.Mix.12T.16D.1</t>
  </si>
  <si>
    <t>P.Mix.12T.16D.2</t>
  </si>
  <si>
    <t>P.Mix.12T.16D.3</t>
  </si>
  <si>
    <t>P.Mix.12L.16D.1</t>
  </si>
  <si>
    <t>P.Mix.12L.16D.2</t>
  </si>
  <si>
    <t>P.Mix.12L.16D.3</t>
  </si>
  <si>
    <t>P.Mix.12H.16D.1</t>
  </si>
  <si>
    <t>P.Mix.12H.16D.2</t>
  </si>
  <si>
    <t>P.Mix.12H.16D.3</t>
  </si>
  <si>
    <t>P.Mix.13T.16D.1</t>
  </si>
  <si>
    <t>P.Mix.13T.16D.2</t>
  </si>
  <si>
    <t>P.Mix.13T.16D.3</t>
  </si>
  <si>
    <t>P.Mix.13L.16D.1</t>
  </si>
  <si>
    <t>P.Mix.13L.16D.2</t>
  </si>
  <si>
    <t>P.Mix.13L.16D.3</t>
  </si>
  <si>
    <t>P.Mix.13H.16D.1</t>
  </si>
  <si>
    <t>P.Mix.13H.16D.2</t>
  </si>
  <si>
    <t>P.Mix.13H.16D.3</t>
  </si>
  <si>
    <t>k__Bacteria|p__Pseudomonadota|c__Gammaproteobacteria|o__Enterobacterales</t>
  </si>
  <si>
    <t>k__Bacteria|p__Pseudomonadota|c__Gammaproteobacteria|o__Pseudomonadales</t>
  </si>
  <si>
    <t>k__Bacteria|p__Campylobacterota|c__Campylobacteria|o__Campylobacterales</t>
  </si>
  <si>
    <t>k__Bacteria|p__Pseudomonadota|c__Alphaproteobacteria|o__Rhodobacterales</t>
  </si>
  <si>
    <t>k__Bacteria|p__Desulfobacterota|c__Desulfobacteria|o__Desulfobacterales</t>
  </si>
  <si>
    <t>k__Bacteria|p__Desulfobacterota|c__Desulfobulbia|o__Desulfobulbales</t>
  </si>
  <si>
    <t>k__Bacteria|p__Desulfobacterota|c__Desulfuromonadia|o__Desulfuromonadales</t>
  </si>
  <si>
    <t>k__Bacteria|p__Chloroflexota|c__Anaerolineae|o__Anaerolineales</t>
  </si>
  <si>
    <t>k__Bacteria|p__Pseudomonadota|c__Alphaproteobacteria|o__Sphingomonadales</t>
  </si>
  <si>
    <t>k__Bacteria|p__Pseudomonadota|c__Gammaproteobacteria|o__Woeseiales</t>
  </si>
  <si>
    <t>k__Bacteria|p__Bacteroidota|c__Bacteroidia|o__Flavobacteriales</t>
  </si>
  <si>
    <t>k__Bacteria|p__Pseudomonadota|c__Alphaproteobacteria|o__Rhodospirillales_A</t>
  </si>
  <si>
    <t>k__Bacteria|p__Pseudomonadota|c__Alphaproteobacteria|o__Rhizobiales</t>
  </si>
  <si>
    <t>k__Bacteria|p__Pseudomonadota|c__Gammaproteobacteria|o__Chromatiales</t>
  </si>
  <si>
    <t>k__Bacteria|p__Bacteroidota|c__Bacteroidia|o__Bacteroidales</t>
  </si>
  <si>
    <t>Others</t>
  </si>
  <si>
    <t>Phyllosphere</t>
  </si>
  <si>
    <t>Met to DMSP</t>
  </si>
  <si>
    <t>DMSP to DMS</t>
  </si>
  <si>
    <t>DMSP to MMPA</t>
  </si>
  <si>
    <t>DMSO to DMS</t>
  </si>
  <si>
    <t>megL</t>
  </si>
  <si>
    <t>Met to MeSH</t>
  </si>
  <si>
    <t>mddM1</t>
  </si>
  <si>
    <t>mddM2</t>
  </si>
  <si>
    <t>Rhodobacterales; Albimonas</t>
  </si>
  <si>
    <t>Rhodobacterales; Allosediminivita</t>
  </si>
  <si>
    <t>Rhodobacterales; Mameliella</t>
  </si>
  <si>
    <t>Rhodobacterales; Pseudooceanicola</t>
  </si>
  <si>
    <t>Rhodobacterales; Sagittula</t>
  </si>
  <si>
    <t>Rhodospirillales A; Thalassospira</t>
  </si>
  <si>
    <t>Pseudomonadales; Marinomonas</t>
  </si>
  <si>
    <t>Pseudomonadales; Salinicola</t>
  </si>
  <si>
    <t>Pseudomonadales; Terasakiispira</t>
  </si>
  <si>
    <t>Pseudomonadales; Vreelandella</t>
  </si>
  <si>
    <t>Rhodobacterales; Thioclava</t>
  </si>
  <si>
    <t>Rhodospirillales; Thalassospira</t>
  </si>
  <si>
    <t>Actinomycetales; Microbacterium</t>
  </si>
  <si>
    <t>Actinomycetales; Phycicoccus</t>
  </si>
  <si>
    <t>Rhizobiales; Fulvimarina</t>
  </si>
  <si>
    <t>Rhodobacterales; Amylibacter</t>
  </si>
  <si>
    <t>Rhodobacterales; Palleronia</t>
  </si>
  <si>
    <t>Rhodobacterales; Roseobacter</t>
  </si>
  <si>
    <t>Rhodobacterales; Roseovarius</t>
  </si>
  <si>
    <t>Pseudomonadales; Onishia</t>
  </si>
  <si>
    <t>Rhodobacterales; Epibacterium</t>
  </si>
  <si>
    <t>Ascomycota</t>
  </si>
  <si>
    <t>Rhodobacterales; Loktanella</t>
  </si>
  <si>
    <t>Campylobacterales; Arcobacter</t>
  </si>
  <si>
    <t>Campylobacterales; Halarcobacter</t>
  </si>
  <si>
    <t>Campylobacterales; Poseidonibacter</t>
  </si>
  <si>
    <t>Enterobacterales; Alteromonas</t>
  </si>
  <si>
    <t>Flavobacteriales; Gramella</t>
  </si>
  <si>
    <t>Chromatiales; Thiodiazotropha</t>
  </si>
  <si>
    <t>Chromatiales; Thiohalocapsa</t>
  </si>
  <si>
    <t>Chromatiales; Thiolapillus</t>
  </si>
  <si>
    <t>Enterobacterales</t>
  </si>
  <si>
    <t>Enterobacterales; Celerinatantimonas</t>
  </si>
  <si>
    <t>Enterobacterales; Idiomarina</t>
  </si>
  <si>
    <t>Enterobacterales; Photobacterium</t>
  </si>
  <si>
    <t>Enterobacterales; Pseudoalteromonas</t>
  </si>
  <si>
    <t>Enterobacterales; Vibrio</t>
  </si>
  <si>
    <t>Nevskiales; Salinisphaera</t>
  </si>
  <si>
    <t>Pseudomonadales; Alloalcanivorax</t>
  </si>
  <si>
    <t>Pseudomonadales; Cobetia</t>
  </si>
  <si>
    <t>Pseudomonadales; Halioglobus</t>
  </si>
  <si>
    <t>Pseudomonadales; Larsenimonas</t>
  </si>
  <si>
    <t>Pseudomonadales; Marinobacterium</t>
  </si>
  <si>
    <t>Pseudomonadales; Nitrincola</t>
  </si>
  <si>
    <t>Pseudomonadales; Oleibacter</t>
  </si>
  <si>
    <t>Pseudomonadales; Psychrobacter</t>
  </si>
  <si>
    <t>Rhodobacterales; Aestuariicoccus</t>
  </si>
  <si>
    <t>Rhodobacterales; Jannaschia</t>
  </si>
  <si>
    <t>Rhodobacterales; Paracoccus</t>
  </si>
  <si>
    <t>Rhodobacterales; Rhodovulum</t>
  </si>
  <si>
    <t>Rhodobacterales; Roseivivax</t>
  </si>
  <si>
    <t>Rhodobacterales; Sulfitobacter</t>
  </si>
  <si>
    <t>Rhodobacterales; Tateyamaria</t>
  </si>
  <si>
    <t>Rhodobacterales; Yoonia</t>
  </si>
  <si>
    <t>Rhodospirillales A</t>
  </si>
  <si>
    <t>Sequence type</t>
  </si>
  <si>
    <t>Leaf</t>
  </si>
  <si>
    <t>Endosphere</t>
  </si>
  <si>
    <t>T0</t>
  </si>
  <si>
    <t>DNA</t>
  </si>
  <si>
    <t>RNA</t>
  </si>
  <si>
    <t>12T</t>
  </si>
  <si>
    <t>12L</t>
  </si>
  <si>
    <t>12H</t>
  </si>
  <si>
    <t>13T</t>
  </si>
  <si>
    <t>13L</t>
  </si>
  <si>
    <t>13H</t>
  </si>
  <si>
    <t>Root</t>
  </si>
  <si>
    <t>R.T0.16R.2</t>
  </si>
  <si>
    <t>Source</t>
  </si>
  <si>
    <t>Mixture of endosphere and phyllosphere</t>
  </si>
  <si>
    <t>Nucleotide type</t>
  </si>
  <si>
    <t>16S rRNA gene amplicon</t>
  </si>
  <si>
    <t>metagenome</t>
  </si>
  <si>
    <t>metatranscriptome</t>
  </si>
  <si>
    <t>Fraction*</t>
  </si>
  <si>
    <t>R.T0.16D.mean</t>
  </si>
  <si>
    <t>R.T0.16R.mean</t>
  </si>
  <si>
    <t>P.Endo.T0.16D.mean</t>
  </si>
  <si>
    <t>P.Endo.T0.16R.mean</t>
  </si>
  <si>
    <t>P.Epi.T0.16D.mean</t>
  </si>
  <si>
    <t>P.Epi.T0.16R.mean</t>
  </si>
  <si>
    <t>Table S2 Relative abundance of top 10 orders in different samples revealed by 16S rRNA gene amplicon. Taxonomic assignment was based on the Genome Taxonomy Database (GTDB).</t>
  </si>
  <si>
    <t>Table S4a Relative gene (% of prokaryotes) and transcript (TPM) abundance of DMSP/DMS/MeSH metabolism related genes.</t>
  </si>
  <si>
    <t>Desulfobacterales</t>
  </si>
  <si>
    <t>Thermoanaerobaculales; Sulfomarinibacter</t>
  </si>
  <si>
    <t>Pseudomonadales; Marinobacter</t>
  </si>
  <si>
    <t>Anaerolineales</t>
  </si>
  <si>
    <t>Enterobacterales; Catenovulum</t>
  </si>
  <si>
    <t>Propionibacteriales; Nocardioides</t>
  </si>
  <si>
    <t>Rhodobacterales; Antarcticimicrobium</t>
  </si>
  <si>
    <t>Desulfobulbales; Desulfobulbus C</t>
  </si>
  <si>
    <t>Pseudomonadales; Pseudomonas E</t>
  </si>
  <si>
    <t>Rhodobacterales; Thalassobius</t>
  </si>
  <si>
    <t>Rhodobacterales; Sinisalibacter</t>
  </si>
  <si>
    <t>Rhodobacterales; Pseudodonghicola</t>
  </si>
  <si>
    <t>Rhodobacterales; Pseudophaeobacter A</t>
  </si>
  <si>
    <t>Rhizobiales; Martelella</t>
  </si>
  <si>
    <t>Actinomycetales; Nesterenkonia</t>
  </si>
  <si>
    <t>Bacillales A; Planococcus</t>
  </si>
  <si>
    <t>Mycobacteriales; Dietzia</t>
  </si>
  <si>
    <t>Actinomycetales; Rhodoglobus</t>
  </si>
  <si>
    <t>Mycobacteriales</t>
  </si>
  <si>
    <t>Rhizobiales; Roseibium</t>
  </si>
  <si>
    <t>Chitinophagales</t>
  </si>
  <si>
    <t>Planctomycetales; Thalassoglobus</t>
  </si>
  <si>
    <t>Opitutales; Oceanipulchritudo</t>
  </si>
  <si>
    <t>Propionibacteriales; Aeromicrobium</t>
  </si>
  <si>
    <t>Propionibacteriales</t>
  </si>
  <si>
    <t>Solirubrobacterales</t>
  </si>
  <si>
    <t>Rhodothermales; Rubricoccus</t>
  </si>
  <si>
    <t>Haliangiales</t>
  </si>
  <si>
    <t>Opitutales</t>
  </si>
  <si>
    <t>Euzebyales; Euzebya</t>
  </si>
  <si>
    <t>Enterobacterales; Shewanella</t>
  </si>
  <si>
    <t>Nitrosococcales; Methylophaga</t>
  </si>
  <si>
    <t>Rhodobacterales; Ruegeria B</t>
  </si>
  <si>
    <t>Desulfobulbales</t>
  </si>
  <si>
    <t>Desulfobacterales; Desulfobacula</t>
  </si>
  <si>
    <t>Rhizobiales; Anderseniella</t>
  </si>
  <si>
    <t>Geminicoccales</t>
  </si>
  <si>
    <t>Rhizobiales; Oricola</t>
  </si>
  <si>
    <t>Unclassified and transcriptionally inactive</t>
  </si>
  <si>
    <t>Unclassified and Others</t>
  </si>
  <si>
    <t>genome</t>
  </si>
  <si>
    <t>GTDB classification</t>
  </si>
  <si>
    <t>Majority vote NCBI classification</t>
  </si>
  <si>
    <t>Order</t>
  </si>
  <si>
    <t>DMSP assimilation by cleavage</t>
  </si>
  <si>
    <t>DMSP assmiliation by demethylation</t>
  </si>
  <si>
    <t>K01501</t>
  </si>
  <si>
    <t>K01721</t>
  </si>
  <si>
    <t>K20807</t>
  </si>
  <si>
    <t>K21801</t>
  </si>
  <si>
    <t>K01426</t>
  </si>
  <si>
    <t>K03334</t>
  </si>
  <si>
    <t>K01593</t>
  </si>
  <si>
    <t>K00274</t>
  </si>
  <si>
    <t>K00128</t>
  </si>
  <si>
    <t>K00149</t>
  </si>
  <si>
    <t>K11817</t>
  </si>
  <si>
    <t>K22417</t>
  </si>
  <si>
    <t>IAA synthesis</t>
  </si>
  <si>
    <t>Enriched in root 13H samples</t>
  </si>
  <si>
    <t>Enriched in leaf 13H samples</t>
  </si>
  <si>
    <t>Phylum</t>
  </si>
  <si>
    <t>MAG1</t>
  </si>
  <si>
    <t>d__Bacteria;p__Pseudomonadota;c__Gammaproteobacteria;o__Pseudomonadales;f__Halomonadaceae;g__Halomonas;s__Halomonas aestuarii</t>
  </si>
  <si>
    <t>d__Bacteria;p__Pseudomonadota;c__Gammaproteobacteria;o__Oceanospirillales;f__Halomonadaceae;g__Halomonas;s__Halomonas aestuarii</t>
  </si>
  <si>
    <t>Pseudomonadota</t>
  </si>
  <si>
    <t>MAG10</t>
  </si>
  <si>
    <t>d__Bacteria;p__Pseudomonadota;c__Alphaproteobacteria;o__Rhodobacterales;f__Rhodobacteraceae;g__Rhodovulum;s__Rhodovulum sulfidophilum</t>
  </si>
  <si>
    <t>d__Bacteria;p__Pseudomonadota;c__Alphaproteobacteria;o__Rhodobacterales;f__Paracoccaceae;g__Rhodovulum;s__Rhodovulum sulfidophilum</t>
  </si>
  <si>
    <t>MAG100</t>
  </si>
  <si>
    <t>d__Bacteria;p__Bacteroidota;c__Bacteroidia;o__Flavobacteriales;f__Flavobacteriaceae;g__Pricia;s__</t>
  </si>
  <si>
    <t>d__Bacteria;p__Bacteroidota;c__Flavobacteriia;o__Flavobacteriales;f__Flavobacteriaceae;g__Pricia;s__</t>
  </si>
  <si>
    <t>Flavobacteriales</t>
  </si>
  <si>
    <t>Bacteroidota</t>
  </si>
  <si>
    <t>MAG101</t>
  </si>
  <si>
    <t>d__Bacteria;p__Pseudomonadota;c__Alphaproteobacteria;o__Rhodobacterales;f__Rhodobacteraceae;g__Thioclava;s__Thioclava dalianensis</t>
  </si>
  <si>
    <t>d__Bacteria;p__Pseudomonadota;c__Alphaproteobacteria;o__Rhodobacterales;f__Paracoccaceae;g__Thioclava;s__Thioclava dalianensis</t>
  </si>
  <si>
    <t>MAG102</t>
  </si>
  <si>
    <t>d__Bacteria;p__Pseudomonadota;c__Gammaproteobacteria;o__Enterobacterales;f__Alteromonadaceae;g__Psychrosphaera;s__</t>
  </si>
  <si>
    <t>d__Bacteria;p__Pseudomonadota;c__Gammaproteobacteria;o__Alteromonadales;f__Pseudoalteromonadaceae;g__Psychrosphaera;s__</t>
  </si>
  <si>
    <t>MAG103</t>
  </si>
  <si>
    <t>MAG104</t>
  </si>
  <si>
    <t>d__Bacteria;p__Pseudomonadota;c__Gammaproteobacteria;o__Pseudomonadales;f__DSM-6294;g__Oleibacter;s__</t>
  </si>
  <si>
    <t>d__Bacteria;p__Pseudomonadota;c__Gammaproteobacteria;o__Oceanospirillales;f__Oceanospirillaceae;g__Thalassolituus;s__</t>
  </si>
  <si>
    <t>MAG105</t>
  </si>
  <si>
    <t>d__Bacteria;p__Pseudomonadota;c__Gammaproteobacteria;o__Pseudomonadales;f__Halomonadaceae;g__Terasakiispira;s__</t>
  </si>
  <si>
    <t>d__Bacteria;p__Pseudomonadota;c__Gammaproteobacteria;o__Oceanospirillales;f__;g__Terasakiispira;s__</t>
  </si>
  <si>
    <t>MAG106</t>
  </si>
  <si>
    <t>d__Bacteria;p__Pseudomonadota;c__Gammaproteobacteria;o__Enterobacterales;f__Alteromonadaceae;g__Alteromonas;s__</t>
  </si>
  <si>
    <t>d__Bacteria;p__Pseudomonadota;c__Gammaproteobacteria;o__Alteromonadales;f__Alteromonadaceae;g__Alteromonas;s__</t>
  </si>
  <si>
    <t>MAG107</t>
  </si>
  <si>
    <t>d__Bacteria;p__Pseudomonadota;c__Gammaproteobacteria;o__Pseudomonadales;f__Halomonadaceae;g__Cobetia;s__Cobetia amphilecti</t>
  </si>
  <si>
    <t>d__Bacteria;p__Pseudomonadota;c__Gammaproteobacteria;o__Oceanospirillales;f__Halomonadaceae;g__Cobetia;s__</t>
  </si>
  <si>
    <t>MAG108</t>
  </si>
  <si>
    <t>d__Bacteria;p__Pseudomonadota;c__Alphaproteobacteria;o__Rhodospirillales_A;f__Thalassospiraceae;g__Thalassospira;s__</t>
  </si>
  <si>
    <t>d__Bacteria;p__Pseudomonadota;c__Alphaproteobacteria;o__Rhodospirillales;f__Thalassospiraceae;g__Thalassospira;s__</t>
  </si>
  <si>
    <t>Rhodospirillales_A</t>
  </si>
  <si>
    <t>MAG109</t>
  </si>
  <si>
    <t>d__Bacteria;p__Bacteroidota;c__Bacteroidia;o__Flavobacteriales;f__Flavobacteriaceae;g__Wenyingzhuangia;s__Wenyingzhuangia marina</t>
  </si>
  <si>
    <t>d__Bacteria;p__Bacteroidota;c__Flavobacteriia;o__Flavobacteriales;f__Flavobacteriaceae;g__Wenyingzhuangia;s__Wenyingzhuangia marina</t>
  </si>
  <si>
    <t>MAG11</t>
  </si>
  <si>
    <t>d__Bacteria;p__Krumholzibacteriota;c__Krumholzibacteria;o__JAJRXK01;f__JAJRXK01;g__JAJRXK01;s__</t>
  </si>
  <si>
    <t>d__Bacteria;p__Candidatus Krumholzibacteriota;c__;o__;f__;g__;s__</t>
  </si>
  <si>
    <t>Krumholzibacteriota</t>
  </si>
  <si>
    <t>MAG110</t>
  </si>
  <si>
    <t>d__Bacteria;p__Pseudomonadota;c__Gammaproteobacteria;o__Enterobacterales;f__Alteromonadaceae;g__Pseudoalteromonas;s__Pseudoalteromonas sp002685175</t>
  </si>
  <si>
    <t>d__Bacteria;p__Pseudomonadota;c__Gammaproteobacteria;o__Alteromonadales;f__Pseudoalteromonadaceae;g__Pseudoalteromonas;s__</t>
  </si>
  <si>
    <t>MAG111</t>
  </si>
  <si>
    <t>d__Bacteria;p__Pseudomonadota;c__Gammaproteobacteria;o__Enterobacterales;f__Alteromonadaceae;g__Idiomarina;s__</t>
  </si>
  <si>
    <t>d__Bacteria;p__Pseudomonadota;c__Gammaproteobacteria;o__Alteromonadales;f__Idiomarinaceae;g__Idiomarina;s__</t>
  </si>
  <si>
    <t>MAG112</t>
  </si>
  <si>
    <t>d__Bacteria;p__Pseudomonadota;c__Alphaproteobacteria;o__Rhodobacterales;f__Rhodobacteraceae;g__Thioclava;s__</t>
  </si>
  <si>
    <t>d__Bacteria;p__Pseudomonadota;c__Alphaproteobacteria;o__Rhodobacterales;f__Paracoccaceae;g__;s__</t>
  </si>
  <si>
    <t>MAG113</t>
  </si>
  <si>
    <t>d__Bacteria;p__Campylobacterota;c__Campylobacteria;o__Campylobacterales;f__Sulfurimonadaceae;g__SZUA-415;s__</t>
  </si>
  <si>
    <t>d__Bacteria;p__Campylobacterota;c__Epsilonproteobacteria;o__Campylobacterales;f__Sulfurimonadaceae;g__Sulfuricurvum;s__</t>
  </si>
  <si>
    <t>Campylobacterales</t>
  </si>
  <si>
    <t>Campylobacterota</t>
  </si>
  <si>
    <t>MAG114</t>
  </si>
  <si>
    <t>d__Bacteria;p__Krumholzibacteriota;c__Krumholzibacteria;o__WVZY01;f__WVZY01;g__WVZY01;s__</t>
  </si>
  <si>
    <t>d__Bacteria;p__Candidatus Latescibacteria;c__;o__;f__;g__;s__</t>
  </si>
  <si>
    <t>MAG115</t>
  </si>
  <si>
    <t>d__Bacteria;p__Pseudomonadota;c__Gammaproteobacteria;o__Woeseiales;f__Woeseiaceae;g__UBA1847;s__</t>
  </si>
  <si>
    <t>d__Bacteria;p__Pseudomonadota;c__;o__;f__;g__;s__</t>
  </si>
  <si>
    <t>MAG116</t>
  </si>
  <si>
    <t>d__Bacteria;p__Myxococcota;c__Polyangia;o__Polyangiales;f__SG8-38;g__SG8-38;s__</t>
  </si>
  <si>
    <t>d__Bacteria;p__Myxococcota;c__Myxococcia;o__Myxococcales;f__;g__;s__</t>
  </si>
  <si>
    <t>Myxococcota</t>
  </si>
  <si>
    <t>MAG117</t>
  </si>
  <si>
    <t>d__Bacteria;p__Chloroflexota;c__Anaerolineae;o__Promineifilales;f__Promineifilaceae;g__JAACFF01;s__</t>
  </si>
  <si>
    <t>d__Bacteria;p__Chloroflexota;c__Anaerolineae;o__;f__;g__;s__</t>
  </si>
  <si>
    <t>Promineifilales</t>
  </si>
  <si>
    <t>Chloroflexota</t>
  </si>
  <si>
    <t>MAG118</t>
  </si>
  <si>
    <t>d__Bacteria;p__Bacteroidota;c__Bacteroidia;o__Flavobacteriales;f__Flavobacteriaceae;g__Mesonia;s__</t>
  </si>
  <si>
    <t>d__Bacteria;p__Bacteroidota;c__Flavobacteriia;o__Flavobacteriales;f__Flavobacteriaceae;g__Mesonia;s__</t>
  </si>
  <si>
    <t>MAG119</t>
  </si>
  <si>
    <t>d__Bacteria;p__Pseudomonadota;c__Alphaproteobacteria;o__Rhodobacterales;f__Rhodobacteraceae;g__Sinisalibacter;s__</t>
  </si>
  <si>
    <t>d__Bacteria;p__Pseudomonadota;c__Alphaproteobacteria;o__Rhodobacterales;f__Roseobacteraceae;g__Sinisalibacter;s__</t>
  </si>
  <si>
    <t>MAG12</t>
  </si>
  <si>
    <t>d__Bacteria;p__Actinomycetota;c__Nitriliruptoria;o__Nitriliruptorales;f__Nitriliruptoraceae;g__;s__</t>
  </si>
  <si>
    <t>d__Bacteria;p__Actinomycetota;c__Nitriliruptoria;o__Salsipaludibacterales;f__Salsipaludibacteraceae;g__;s__</t>
  </si>
  <si>
    <t>Nitriliruptorales</t>
  </si>
  <si>
    <t>Actinomycetota</t>
  </si>
  <si>
    <t>MAG120</t>
  </si>
  <si>
    <t>d__Bacteria;p__Pseudomonadota;c__Gammaproteobacteria;o__Pseudomonadales;f__Halomonadaceae;g__Halomonas;s__Halomonas ventosae</t>
  </si>
  <si>
    <t>d__Bacteria;p__Pseudomonadota;c__Gammaproteobacteria;o__Oceanospirillales;f__Halomonadaceae;g__Halomonas;s__Halomonas ventosae</t>
  </si>
  <si>
    <t>MAG121</t>
  </si>
  <si>
    <t>d__Bacteria;p__Pseudomonadota;c__Alphaproteobacteria;o__Rhodobacterales;f__Rhodobacteraceae;g__Roseobacter;s__</t>
  </si>
  <si>
    <t>d__Bacteria;p__Pseudomonadota;c__Alphaproteobacteria;o__Rhodobacterales;f__Roseobacteraceae;g__Roseobacter;s__</t>
  </si>
  <si>
    <t>MAG122</t>
  </si>
  <si>
    <t>d__Bacteria;p__Desulfobacterota;c__Desulfobulbia;o__Desulfobulbales;f__Desulfobulbaceae;g__UBA10518;s__</t>
  </si>
  <si>
    <t>d__Bacteria;p__Thermodesulfobacteriota;c__Desulfobulbia;o__Desulfobulbales;f__Desulfobulbaceae;g__;s__</t>
  </si>
  <si>
    <t>Desulfobacterota</t>
  </si>
  <si>
    <t>MAG123</t>
  </si>
  <si>
    <t>d__Bacteria;p__Pseudomonadota;c__Gammaproteobacteria;o__Thiomicrospirales;f__Thiomicrospiraceae;g__Thiomicrorhabdus;s__</t>
  </si>
  <si>
    <t>d__Bacteria;p__Pseudomonadota;c__Gammaproteobacteria;o__Thiotrichales;f__Piscirickettsiaceae;g__Thiomicrorhabdus;s__</t>
  </si>
  <si>
    <t>Thiomicrospirales</t>
  </si>
  <si>
    <t>MAG124</t>
  </si>
  <si>
    <t>MAG125</t>
  </si>
  <si>
    <t>d__Bacteria;p__JAGLYR01;c__JAGLYR01;o__JALGWA01;f__JALGWB01;g__JAUVJV01;s__</t>
  </si>
  <si>
    <t>d__Bacteria;p__Candidatus Eisenbacteria;c__;o__;f__;g__;s__</t>
  </si>
  <si>
    <t>MAG126</t>
  </si>
  <si>
    <t>d__Bacteria;p__Planctomycetota;c__Phycisphaerae;o__Sedimentisphaerales;f__Anaerohalosphaeraceae;g__4572-13;s__</t>
  </si>
  <si>
    <t>d__Bacteria;p__Planctomycetota;c__Phycisphaerae;o__;f__;g__;s__</t>
  </si>
  <si>
    <t>Sedimentisphaerales</t>
  </si>
  <si>
    <t>Planctomycetota</t>
  </si>
  <si>
    <t>MAG127</t>
  </si>
  <si>
    <t>d__Bacteria;p__Pseudomonadota;c__Gammaproteobacteria;o__Pseudomonadales;f__Halieaceae;g__Halioglobus;s__</t>
  </si>
  <si>
    <t>d__Bacteria;p__Pseudomonadota;c__Gammaproteobacteria;o__Cellvibrionales;f__Halieaceae;g__Halioglobus;s__</t>
  </si>
  <si>
    <t>MAG128</t>
  </si>
  <si>
    <t>d__Bacteria;p__Acidobacteriota;c__Polarisedimenticolia;o__Polarisedimenticolales;f__Polarisedimenticolaceae;g__;s__</t>
  </si>
  <si>
    <t>d__Bacteria;p__;c__;o__;f__;g__;s__</t>
  </si>
  <si>
    <t>Polarisedimenticolales</t>
  </si>
  <si>
    <t>Acidobacteriota</t>
  </si>
  <si>
    <t>MAG129</t>
  </si>
  <si>
    <t>d__Bacteria;p__Pseudomonadota;c__Alphaproteobacteria;o__Rhodobacterales;f__Rhodobacteraceae;g__Albimonas;s__</t>
  </si>
  <si>
    <t>d__Bacteria;p__Pseudomonadota;c__Alphaproteobacteria;o__Rhodobacterales;f__Paracoccaceae;g__Albimonas;s__</t>
  </si>
  <si>
    <t>MAG13</t>
  </si>
  <si>
    <t>d__Bacteria;p__Actinomycetota;c__Actinomycetes;o__Jiangellales;f__Jiangellaceae;g__;s__</t>
  </si>
  <si>
    <t>d__Bacteria;p__Actinomycetota;c__Actinomycetes;o__Jiangellales;f__;g__;s__</t>
  </si>
  <si>
    <t>Jiangellales</t>
  </si>
  <si>
    <t>MAG130</t>
  </si>
  <si>
    <t>d__Bacteria;p__Pseudomonadota;c__Gammaproteobacteria;o__SZUA-229;f__SZUA-229;g__GCA-2746365;s__</t>
  </si>
  <si>
    <t>d__Bacteria;p__Pseudomonadota;c__Gammaproteobacteria;o__;f__;g__;s__</t>
  </si>
  <si>
    <t>MAG131</t>
  </si>
  <si>
    <t>d__Bacteria;p__Pseudomonadota;c__Gammaproteobacteria;o__XN24;f__XN24;g__XN24;s__</t>
  </si>
  <si>
    <t>d__Bacteria;p__Pseudomonadota;c__Gammaproteobacteria;o__Chromatiales;f__Wenzhouxiangellaceae;g__Wenzhouxiangella;s__</t>
  </si>
  <si>
    <t>MAG132</t>
  </si>
  <si>
    <t>d__Bacteria;p__Desulfobacterota;c__Desulfobacteria;o__Desulfobacterales;f__UBA5852;g__JABZFP01;s__</t>
  </si>
  <si>
    <t>d__Bacteria;p__Thermodesulfobacteriota;c__Desulfobacteria;o__Desulfobacterales;f__Desulfobacteraceae;g__;s__</t>
  </si>
  <si>
    <t>MAG133</t>
  </si>
  <si>
    <t>d__Bacteria;p__Bacteroidota;c__Bacteroidia;o__Flavobacteriales;f__Flavobacteriaceae;g__Lutimonas;s__</t>
  </si>
  <si>
    <t>d__Bacteria;p__Bacteroidota;c__Flavobacteriia;o__Flavobacteriales;f__Flavobacteriaceae;g__;s__</t>
  </si>
  <si>
    <t>MAG134</t>
  </si>
  <si>
    <t>d__Bacteria;p__Acidobacteriota;c__;o__;f__;g__;s__</t>
  </si>
  <si>
    <t>MAG135</t>
  </si>
  <si>
    <t>d__Bacteria;p__Verrucomicrobiota;c__Verrucomicrobiae;o__Opitutales;f__Opitutaceae;g__B12-G4;s__</t>
  </si>
  <si>
    <t>d__Bacteria;p__Verrucomicrobiota;c__;o__;f__;g__;s__</t>
  </si>
  <si>
    <t>Verrucomicrobiota</t>
  </si>
  <si>
    <t>MAG136</t>
  </si>
  <si>
    <t>d__Bacteria;p__Bacteroidota;c__Bacteroidia;o__Flavobacteriales;f__Crocinitomicaceae;g__JASBTZ01;s__</t>
  </si>
  <si>
    <t>d__Bacteria;p__Bacteroidota;c__;o__;f__;g__;s__</t>
  </si>
  <si>
    <t>MAG137</t>
  </si>
  <si>
    <t>d__Bacteria;p__Pseudomonadota;c__Gammaproteobacteria;o__Pseudomonadales;f__Oleiphilaceae;g__Marinobacter;s__Marinobacter sp008107725</t>
  </si>
  <si>
    <t>d__Bacteria;p__Pseudomonadota;c__Gammaproteobacteria;o__Pseudomonadales;f__Marinobacteraceae;g__Marinobacter;s__</t>
  </si>
  <si>
    <t>MAG138</t>
  </si>
  <si>
    <t>d__Bacteria;p__Desulfobacterota;c__Desulfobacteria;o__Desulfobacterales;f__UBA2174_A;g__;s__</t>
  </si>
  <si>
    <t>d__Bacteria;p__Thermodesulfobacteriota;c__Desulfobacteria;o__Desulfobacterales;f__;g__;s__</t>
  </si>
  <si>
    <t>MAG139</t>
  </si>
  <si>
    <t>d__Bacteria;p__Actinomycetota;c__Actinomycetes;o__Actinomycetales;f__Dermatophilaceae;g__Ornithinimicrobium_A;s__</t>
  </si>
  <si>
    <t>d__Bacteria;p__Actinomycetota;c__Actinomycetes;o__Micrococcales;f__Ornithinimicrobiaceae;g__Ornithinimicrobium;s__</t>
  </si>
  <si>
    <t>Actinomycetales</t>
  </si>
  <si>
    <t>MAG14</t>
  </si>
  <si>
    <t>d__Bacteria;p__Myxococcota;c__UBA796;o__UBA796;f__UBA2385;g__JACKEY01;s__</t>
  </si>
  <si>
    <t>d__Bacteria;p__Pseudomonadota;c__Alphaproteobacteria;o__;f__;g__;s__</t>
  </si>
  <si>
    <t>MAG140</t>
  </si>
  <si>
    <t>d__Bacteria;p__Bacteroidota;c__Bacteroidia;o__Flavobacteriales;f__Flavobacteriaceae;g__Zunongwangia;s__</t>
  </si>
  <si>
    <t>d__Bacteria;p__Bacteroidota;c__Flavobacteriia;o__Flavobacteriales;f__Flavobacteriaceae;g__Zunongwangia;s__</t>
  </si>
  <si>
    <t>MAG141</t>
  </si>
  <si>
    <t>d__Bacteria;p__Pseudomonadota;c__Alphaproteobacteria;o__Rhodobacterales;f__Rhodobacteraceae;g__Thalassobius;s__</t>
  </si>
  <si>
    <t>d__Bacteria;p__Pseudomonadota;c__Alphaproteobacteria;o__Rhodobacterales;f__Roseobacteraceae;g__Thalassobius;s__</t>
  </si>
  <si>
    <t>MAG142</t>
  </si>
  <si>
    <t>d__Bacteria;p__Pseudomonadota;c__Alphaproteobacteria;o__Rhizobiales;f__Hyphomicrobiaceae;g__CAJQQK01;s__</t>
  </si>
  <si>
    <t>d__Bacteria;p__Pseudomonadota;c__Alphaproteobacteria;o__Hyphomicrobiales;f__Hyphomicrobiaceae;g__;s__</t>
  </si>
  <si>
    <t>MAG143</t>
  </si>
  <si>
    <t>d__Bacteria;p__Actinomycetota;c__Acidimicrobiia;o__UBA5794;f__UBA5794;g__JAAETI01;s__</t>
  </si>
  <si>
    <t>MAG144</t>
  </si>
  <si>
    <t>d__Bacteria;p__Pseudomonadota;c__Alphaproteobacteria;o__Rhodobacterales;f__Rhodobacteraceae;g__Muriiphilus;s__</t>
  </si>
  <si>
    <t>d__Bacteria;p__Pseudomonadota;c__Alphaproteobacteria;o__Rhodobacterales;f__Roseobacteraceae;g__;s__</t>
  </si>
  <si>
    <t>MAG145</t>
  </si>
  <si>
    <t>d__Bacteria;p__Actinomycetota;c__Acidimicrobiia;o__UBA5794;f__UBA5794;g__;s__</t>
  </si>
  <si>
    <t>d__Bacteria;p__Actinomycetota;c__Acidimicrobiia;o__;f__;g__;s__</t>
  </si>
  <si>
    <t>MAG146</t>
  </si>
  <si>
    <t>d__Bacteria;p__Gemmatimonadota;c__Gemmatimonadetes;o__Longimicrobiales;f__UBA6960;g__JABDNZ01;s__</t>
  </si>
  <si>
    <t>d__Bacteria;p__Gemmatimonadota;c__Longimicrobiia;o__Longimicrobiales;f__;g__;s__</t>
  </si>
  <si>
    <t>Gemmatimonadota</t>
  </si>
  <si>
    <t>MAG147</t>
  </si>
  <si>
    <t>d__Bacteria;p__Pseudomonadota;c__Alphaproteobacteria;o__Rhodobacterales;f__Rhodobacteraceae;g__Antarcticimicrobium;s__Antarcticimicrobium luteum</t>
  </si>
  <si>
    <t>d__Bacteria;p__Pseudomonadota;c__Alphaproteobacteria;o__Rhodobacterales;f__Paracoccaceae;g__Antarcticimicrobium;s__Antarcticimicrobium luteum</t>
  </si>
  <si>
    <t>MAG148</t>
  </si>
  <si>
    <t>d__Bacteria;p__Acidobacteriota;c__Thermoanaerobaculia;o__Multivoradales;f__UBA5704;g__JAUVRX01;s__</t>
  </si>
  <si>
    <t>d__Bacteria;p__Acidobacteriota;c__Thermoanaerobaculia;o__;f__;g__;s__</t>
  </si>
  <si>
    <t>Multivoradales</t>
  </si>
  <si>
    <t>MAG149</t>
  </si>
  <si>
    <t>d__Bacteria;p__Actinomycetota;c__Thermoleophilia;o__Solirubrobacterales;f__70-9;g__67-14;s__</t>
  </si>
  <si>
    <t>d__Bacteria;p__Actinomycetota;c__Thermoleophilia;o__;f__;g__;s__</t>
  </si>
  <si>
    <t>MAG15</t>
  </si>
  <si>
    <t>d__Bacteria;p__Pseudomonadota;c__Alphaproteobacteria;o__Rhodobacterales;f__Rhodobacteraceae;g__Epibacterium;s__</t>
  </si>
  <si>
    <t>d__Bacteria;p__Pseudomonadota;c__Alphaproteobacteria;o__Rhodobacterales;f__Roseobacteraceae;g__Phaeobacter;s__</t>
  </si>
  <si>
    <t>MAG150</t>
  </si>
  <si>
    <t>d__Bacteria;p__Acidobacteriota;c__Polarisedimenticolia;o__Polarisedimenticolales;f__Polarisedimenticolaceae;g__Polarisedimenticola;s__</t>
  </si>
  <si>
    <t>d__Bacteria;p__Acidobacteriota;c__Candidatus Polarisedimenticolia;o__Candidatus Polarisedimenticolales;f__Candidatus Polarisedimenticolaceae;g__Candidatus Polarisedimenticola;s__</t>
  </si>
  <si>
    <t>MAG151</t>
  </si>
  <si>
    <t>d__Bacteria;p__Campylobacterota;c__Campylobacteria;o__Campylobacterales;f__Arcobacteraceae;g__Halarcobacter;s__</t>
  </si>
  <si>
    <t>d__Bacteria;p__Campylobacterota;c__Epsilonproteobacteria;o__Campylobacterales;f__Campylobacteraceae;g__;s__</t>
  </si>
  <si>
    <t>MAG152</t>
  </si>
  <si>
    <t>d__Bacteria;p__Gemmatimonadota;c__Gemmatimonadetes;o__Palauibacterales;f__Palauibacteraceae;g__;s__</t>
  </si>
  <si>
    <t>d__Bacteria;p__Gemmatimonadota;c__;o__;f__;g__;s__</t>
  </si>
  <si>
    <t>Palauibacterales</t>
  </si>
  <si>
    <t>MAG153</t>
  </si>
  <si>
    <t>d__Bacteria;p__Desulfobacterota;c__Desulfuromonadia;o__Desulfuromonadales;f__BM103;g__JAFDBW01;s__</t>
  </si>
  <si>
    <t>d__Bacteria;p__;c__Deltaproteobacteria;o__;f__;g__;s__</t>
  </si>
  <si>
    <t>MAG154</t>
  </si>
  <si>
    <t>d__Bacteria;p__Pseudomonadota;c__Gammaproteobacteria;o__DRMK01;f__DRMK01;g__;s__</t>
  </si>
  <si>
    <t>d__Bacteria;p__Pseudomonadota;c__Gammaproteobacteria;o__Chromatiales;f__;g__;s__</t>
  </si>
  <si>
    <t>MAG155</t>
  </si>
  <si>
    <t>d__Bacteria;p__Pseudomonadota;c__Alphaproteobacteria;o__Rhizobiales;f__Methyloligellaceae;g__Methyloceanibacter;s__</t>
  </si>
  <si>
    <t>d__Bacteria;p__Pseudomonadota;c__Alphaproteobacteria;o__Hyphomicrobiales;f__Hyphomicrobiaceae;g__Methyloceanibacter;s__</t>
  </si>
  <si>
    <t>MAG156</t>
  </si>
  <si>
    <t>d__Bacteria;p__Pseudomonadota;c__Alphaproteobacteria;o__Rhodobacterales;f__Rhodobacteraceae;g__Roseovarius;s__</t>
  </si>
  <si>
    <t>d__Bacteria;p__Pseudomonadota;c__Alphaproteobacteria;o__Rhodobacterales;f__Roseobacteraceae;g__Roseovarius;s__</t>
  </si>
  <si>
    <t>MAG157</t>
  </si>
  <si>
    <t>MAG158</t>
  </si>
  <si>
    <t>d__Bacteria;p__Campylobacterota;c__Campylobacteria;o__Campylobacterales;f__Sulfurovaceae;g__Sulfurovum;s__</t>
  </si>
  <si>
    <t>d__Bacteria;p__Campylobacterota;c__Epsilonproteobacteria;o__Campylobacterales;f__Sulfurovaceae;g__Sulfurovum;s__</t>
  </si>
  <si>
    <t>MAG159</t>
  </si>
  <si>
    <t>d__Bacteria;p__Campylobacterota;c__Campylobacteria;o__Campylobacterales;f__Sulfurimonadaceae;g__S145-25;s__</t>
  </si>
  <si>
    <t>d__Bacteria;p__Campylobacterota;c__Epsilonproteobacteria;o__Campylobacterales;f__Helicobacteraceae;g__;s__</t>
  </si>
  <si>
    <t>MAG16</t>
  </si>
  <si>
    <t>d__Bacteria;p__Actinomycetota;c__Actinomycetes;o__S36-B12;f__CAIYMF01;g__Prado023;s__</t>
  </si>
  <si>
    <t>d__Bacteria;p__Actinomycetota;c__Actinomycetes;o__Candidatus Nanopelagicales;f__;g__;s__</t>
  </si>
  <si>
    <t>MAG160</t>
  </si>
  <si>
    <t>d__Bacteria;p__Pseudomonadota;c__Alphaproteobacteria;o__Sphingomonadales;f__Sphingomonadaceae;g__Altericroceibacterium;s__Altericroceibacterium indicum</t>
  </si>
  <si>
    <t>d__Bacteria;p__Pseudomonadota;c__Alphaproteobacteria;o__Sphingomonadales;f__Erythrobacteraceae;g__Altericroceibacterium;s__Altericroceibacterium indicum</t>
  </si>
  <si>
    <t>Sphingomonadales</t>
  </si>
  <si>
    <t>MAG161</t>
  </si>
  <si>
    <t>d__Bacteria;p__Desulfobacterota;c__Desulfobulbia;o__Desulfobulbales;f__Desulfobulbaceae;g__Desulfobulbus_C;s__</t>
  </si>
  <si>
    <t>MAG162</t>
  </si>
  <si>
    <t>d__Bacteria;p__Gemmatimonadota;c__Gemmatimonadetes;o__Palauibacterales;f__Palauibacteraceae;g__Benthicola;s__</t>
  </si>
  <si>
    <t>MAG163</t>
  </si>
  <si>
    <t>d__Bacteria;p__Chloroflexota;c__Anaerolineae;o__Anaerolineales;f__Anaerolineaceae;g__Brevefilum;s__</t>
  </si>
  <si>
    <t>d__Bacteria;p__Chloroflexota;c__Anaerolineae;o__Anaerolineales;f__Anaerolineaceae;g__;s__</t>
  </si>
  <si>
    <t>MAG164</t>
  </si>
  <si>
    <t>d__Bacteria;p__Chloroflexota;c__Anaerolineae;o__Anaerolineales;f__UBA4823;g__DAOVXM01;s__</t>
  </si>
  <si>
    <t>d__Bacteria;p__Chloroflexota;c__;o__;f__;g__;s__</t>
  </si>
  <si>
    <t>MAG165</t>
  </si>
  <si>
    <t>MAG166</t>
  </si>
  <si>
    <t>MAG167</t>
  </si>
  <si>
    <t>d__Bacteria;p__Pseudomonadota;c__Gammaproteobacteria;o__Pseudomonadales;f__Oleiphilaceae;g__Marinobacter;s__</t>
  </si>
  <si>
    <t>MAG168</t>
  </si>
  <si>
    <t>MAG169</t>
  </si>
  <si>
    <t>d__Bacteria;p__Pseudomonadota;c__Alphaproteobacteria;o__Rhodobacterales;f__Rhodobacteraceae;g__Antarcticimicrobium;s__</t>
  </si>
  <si>
    <t>d__Bacteria;p__Pseudomonadota;c__Alphaproteobacteria;o__Rhodobacterales;f__Paracoccaceae;g__Antarcticimicrobium;s__</t>
  </si>
  <si>
    <t>MAG17</t>
  </si>
  <si>
    <t>d__Bacteria;p__Pseudomonadota;c__Gammaproteobacteria;o__XN24;f__XN24;g__JAHEFR01;s__</t>
  </si>
  <si>
    <t>MAG170</t>
  </si>
  <si>
    <t>MAG18</t>
  </si>
  <si>
    <t>d__Bacteria;p__Pseudomonadota;c__Gammaproteobacteria;o__Cellvibrionales;f__Halieaceae;g__;s__</t>
  </si>
  <si>
    <t>MAG19</t>
  </si>
  <si>
    <t>d__Bacteria;p__Pseudomonadota;c__Alphaproteobacteria;o__Rhodobacterales;f__Rhodobacteraceae;g__Roseovarius;s__Roseovarius tolerans</t>
  </si>
  <si>
    <t>d__Bacteria;p__Pseudomonadota;c__Alphaproteobacteria;o__Rhodobacterales;f__Roseobacteraceae;g__Roseovarius;s__Roseovarius tolerans</t>
  </si>
  <si>
    <t>MAG2</t>
  </si>
  <si>
    <t>MAG20</t>
  </si>
  <si>
    <t>d__Bacteria;p__Pseudomonadota;c__Gammaproteobacteria;o__Enterobacterales;f__Vibrionaceae;g__Vibrio;s__Vibrio palustris</t>
  </si>
  <si>
    <t>d__Bacteria;p__Pseudomonadota;c__Gammaproteobacteria;o__Vibrionales;f__Vibrionaceae;g__Vibrio;s__Vibrio palustris</t>
  </si>
  <si>
    <t>MAG21</t>
  </si>
  <si>
    <t>d__Bacteria;p__VGIX01;c__VGIX01;o__VGIX01;f__VGIX01;g__;s__</t>
  </si>
  <si>
    <t>MAG22</t>
  </si>
  <si>
    <t>d__Bacteria;p__Pseudomonadota;c__Alphaproteobacteria;o__Kiloniellales;f__JAKSDN01;g__CALJXB01;s__</t>
  </si>
  <si>
    <t>d__Bacteria;p__Pseudomonadota;c__Alphaproteobacteria;o__Rhodospirillales;f__;g__;s__</t>
  </si>
  <si>
    <t>MAG23</t>
  </si>
  <si>
    <t>MAG24</t>
  </si>
  <si>
    <t>d__Bacteria;p__Desulfobacterota;c__Desulfuromonadia;o__Desulfuromonadales;f__BM103;g__JAQYVZ01;s__</t>
  </si>
  <si>
    <t>d__Bacteria;p__Thermodesulfobacteriota;c__Desulfuromonadia;o__Desulfuromonadales;f__;g__;s__</t>
  </si>
  <si>
    <t>MAG25</t>
  </si>
  <si>
    <t>d__Bacteria;p__Pseudomonadota;c__Alphaproteobacteria;o__Rhodobacterales;f__Rhodobacteraceae;g__Yoonia;s__</t>
  </si>
  <si>
    <t>d__Bacteria;p__Pseudomonadota;c__Alphaproteobacteria;o__Rhodobacterales;f__Paracoccaceae;g__Yoonia;s__</t>
  </si>
  <si>
    <t>MAG26</t>
  </si>
  <si>
    <t>d__Bacteria;p__Desulfobacterota;c__Desulfobulbia;o__Desulfobulbales;f__Desulfurivibrionaceae;g__SURF-16;s__</t>
  </si>
  <si>
    <t>d__Bacteria;p__Thermodesulfobacteriota;c__Desulfobulbia;o__Desulfobulbales;f__Desulfobulbaceae;g__Desulfurivibrio;s__</t>
  </si>
  <si>
    <t>MAG27</t>
  </si>
  <si>
    <t>d__Bacteria;p__Pseudomonadota;c__Gammaproteobacteria;o__BMS3Bbin11;f__BMS3Bbin11;g__BMS3Bbin11;s__BMS3Bbin11 sp029287855</t>
  </si>
  <si>
    <t>d__Bacteria;p__Pseudomonadota;c__Gammaproteobacteria;o__Arenicellales;f__;g__;s__</t>
  </si>
  <si>
    <t>MAG28</t>
  </si>
  <si>
    <t>d__Bacteria;p__Pseudomonadota;c__Gammaproteobacteria;o__Enterobacterales;f__Vibrionaceae;g__Vibrio;s__Vibrio pacinii</t>
  </si>
  <si>
    <t>d__Bacteria;p__Pseudomonadota;c__Gammaproteobacteria;o__Vibrionales;f__Vibrionaceae;g__Vibrio;s__Vibrio pacinii</t>
  </si>
  <si>
    <t>MAG29</t>
  </si>
  <si>
    <t>d__Bacteria;p__Planctomycetota;c__GCA-002687715;o__GCA-002687715;f__GCA-002687715;g__;s__</t>
  </si>
  <si>
    <t>d__Bacteria;p__Planctomycetota;c__;o__;f__;g__;s__</t>
  </si>
  <si>
    <t>MAG3</t>
  </si>
  <si>
    <t>MAG30</t>
  </si>
  <si>
    <t>MAG31</t>
  </si>
  <si>
    <t>MAG32</t>
  </si>
  <si>
    <t>d__Bacteria;p__Desulfobacterota;c__Desulfobulbia;o__Desulfobulbales;f__BM004;g__;s__</t>
  </si>
  <si>
    <t>MAG33</t>
  </si>
  <si>
    <t>d__Bacteria;p__Pseudomonadota;c__Alphaproteobacteria;o__Kiloniellales;f__CECT-8803;g__Limibacillus;s__</t>
  </si>
  <si>
    <t>d__Bacteria;p__Pseudomonadota;c__Alphaproteobacteria;o__Hyphomicrobiales;f__Rhodovibrionaceae;g__Limibacillus;s__</t>
  </si>
  <si>
    <t>MAG34</t>
  </si>
  <si>
    <t>d__Bacteria;p__Acidobacteriota;c__Thermoanaerobaculia;o__Thermoanaerobaculales;f__Sulfomarinibacteraceae;g__Sulfomarinibacter;s__</t>
  </si>
  <si>
    <t>d__Bacteria;p__Acidobacteriota;c__Thermoanaerobaculia;o__Thermoanaerobaculales;f__;g__;s__</t>
  </si>
  <si>
    <t>MAG35</t>
  </si>
  <si>
    <t>d__Bacteria;p__Pseudomonadota;c__Gammaproteobacteria;o__Pseudomonadales;f__Nitrincolaceae;g__Amphritea;s__</t>
  </si>
  <si>
    <t>d__Bacteria;p__Pseudomonadota;c__Gammaproteobacteria;o__Oceanospirillales;f__Oceanospirillaceae;g__Amphritea;s__</t>
  </si>
  <si>
    <t>MAG36</t>
  </si>
  <si>
    <t>d__Bacteria;p__Chloroflexota;c__Anaerolineae;o__Caldilineales;f__Caldilineaceae;g__JASGTU01;s__</t>
  </si>
  <si>
    <t>Caldilineales</t>
  </si>
  <si>
    <t>MAG37</t>
  </si>
  <si>
    <t>d__Bacteria;p__Actinomycetota;c__Actinomycetes;o__Propionibacteriales;f__Nocardioidaceae;g__Nocardioides;s__</t>
  </si>
  <si>
    <t>MAG38</t>
  </si>
  <si>
    <t>d__Bacteria;p__Pseudomonadota;c__Gammaproteobacteria;o__Pseudomonadales;f__Nitrincolaceae;g__Amphritea;s__Amphritea atlantica_B</t>
  </si>
  <si>
    <t>d__Bacteria;p__Pseudomonadota;c__Gammaproteobacteria;o__Oceanospirillales;f__Oceanospirillaceae;g__Amphritea;s__Amphritea atlantica</t>
  </si>
  <si>
    <t>MAG39</t>
  </si>
  <si>
    <t>d__Bacteria;p__Pseudomonadota;c__Gammaproteobacteria;o__Pseudomonadales;f__Halomonadaceae;g__Salinicola;s__Salinicola endophyticus</t>
  </si>
  <si>
    <t>d__Bacteria;p__Pseudomonadota;c__Gammaproteobacteria;o__Oceanospirillales;f__Halomonadaceae;g__Salinicola;s__Salinicola endophyticus</t>
  </si>
  <si>
    <t>MAG4</t>
  </si>
  <si>
    <t>d__Bacteria;p__Actinomycetota;c__Acidimicrobiia;o__Acidimicrobiales;f__Ilumatobacteraceae;g__Sva-07;s__</t>
  </si>
  <si>
    <t>d__Bacteria;p__Actinomycetota;c__Acidimicrobiia;o__Acidimicrobiales;f__Ilumatobacteraceae;g__;s__</t>
  </si>
  <si>
    <t>MAG40</t>
  </si>
  <si>
    <t>d__Bacteria;p__Pseudomonadota;c__Alphaproteobacteria;o__Rhodobacterales;f__Rhodobacteraceae;g__;s__</t>
  </si>
  <si>
    <t>MAG41</t>
  </si>
  <si>
    <t>d__Bacteria;p__Pseudomonadota;c__Alphaproteobacteria;o__Rhodobacterales;f__;g__;s__</t>
  </si>
  <si>
    <t>MAG42</t>
  </si>
  <si>
    <t>d__Bacteria;p__Chloroflexota;c__Anaerolineae;o__UBA3071;f__UBA3071;g__UBA3071;s__</t>
  </si>
  <si>
    <t>d__Bacteria;p__Chloroflexota;c__Anaerolineae;o__Anaerolineales;f__;g__;s__</t>
  </si>
  <si>
    <t>MAG43</t>
  </si>
  <si>
    <t>d__Bacteria;p__Actinomycetota;c__Actinomycetes;o__S36-B12;f__CAIYMF01;g__;s__</t>
  </si>
  <si>
    <t>MAG44</t>
  </si>
  <si>
    <t>d__Bacteria;p__Actinomycetota;c__Actinomycetes;o__Actinomycetales;f__Actinomycetaceae;g__UBA1383;s__</t>
  </si>
  <si>
    <t>d__Bacteria;p__Actinomycetota;c__;o__;f__;g__;s__</t>
  </si>
  <si>
    <t>MAG45</t>
  </si>
  <si>
    <t>d__Bacteria;p__Pseudomonadota;c__Gammaproteobacteria;o__Chromatiales;f__Sedimenticolaceae;g__JAHEIA01;s__</t>
  </si>
  <si>
    <t>MAG46</t>
  </si>
  <si>
    <t>d__Bacteria;p__Actinomycetota;c__Acidimicrobiia;o__UBA5794;f__UBA5794;g__JAHEEL01;s__</t>
  </si>
  <si>
    <t>d__Bacteria;p__Actinomycetota;c__Actinomycetes;o__;f__;g__;s__</t>
  </si>
  <si>
    <t>MAG47</t>
  </si>
  <si>
    <t>d__Bacteria;p__Acidobacteriota;c__Thermoanaerobaculia;o__Thermoanaerobaculales;f__Sulfomarinibacteraceae;g__JAHECW01;s__</t>
  </si>
  <si>
    <t>MAG48</t>
  </si>
  <si>
    <t>d__Bacteria;p__Krumholzibacteriota;c__Krumholzibacteria;o__LZORAL124-64-63;f__LZORAL124-64-63;g__JAGLCY01;s__</t>
  </si>
  <si>
    <t>d__Bacteria;p__Candidatus Krumholzibacteriota;c__Candidatus Krumholzibacteria;o__;f__;g__;s__</t>
  </si>
  <si>
    <t>MAG49</t>
  </si>
  <si>
    <t>d__Bacteria;p__Pseudomonadota;c__Gammaproteobacteria;o__Woeseiales;f__Woeseiaceae;g__;s__</t>
  </si>
  <si>
    <t>MAG5</t>
  </si>
  <si>
    <t>d__Bacteria;p__Pseudomonadota;c__Gammaproteobacteria;o__Pseudomonadales;f__Oleiphilaceae;g__Marinobacter;s__Marinobacter sediminum_A</t>
  </si>
  <si>
    <t>d__Bacteria;p__Pseudomonadota;c__Gammaproteobacteria;o__Pseudomonadales;f__Marinobacteraceae;g__Marinobacter;s__Marinobacter sediminum</t>
  </si>
  <si>
    <t>MAG50</t>
  </si>
  <si>
    <t>MAG51</t>
  </si>
  <si>
    <t>d__Bacteria;p__Desulfobacterota;c__Syntrophobacteria;o__BM002;f__BM002;g__BM002;s__BM002 sp002899795</t>
  </si>
  <si>
    <t>MAG52</t>
  </si>
  <si>
    <t>d__Bacteria;p__Desulfobacterota;c__Desulfobacteria;o__Desulfobacterales;f__SG8-13;g__JARFQH01;s__</t>
  </si>
  <si>
    <t>MAG53</t>
  </si>
  <si>
    <t>d__Bacteria;p__Pseudomonadota;c__Gammaproteobacteria;o__XN24;f__XN24;g__CAMYOC01;s__</t>
  </si>
  <si>
    <t>MAG54</t>
  </si>
  <si>
    <t>d__Bacteria;p__Bacteroidota;c__Bacteroidia;o__Bacteroidales;f__F082;g__UBA4459;s__</t>
  </si>
  <si>
    <t>Bacteroidales</t>
  </si>
  <si>
    <t>MAG55</t>
  </si>
  <si>
    <t>d__Bacteria;p__Krumholzibacteriota;c__Krumholzibacteria;o__LZORAL124-64-63;f__LZORAL124-64-63;g__JAHJTW01;s__</t>
  </si>
  <si>
    <t>MAG56</t>
  </si>
  <si>
    <t>MAG57</t>
  </si>
  <si>
    <t>d__Bacteria;p__Desulfobacterota;c__Desulfobulbia;o__Desulfobulbales;f__Desulfocapsaceae;g__MADRE3;s__</t>
  </si>
  <si>
    <t>MAG58</t>
  </si>
  <si>
    <t>d__Bacteria;p__Desulfobacterota;c__Desulfuromonadia;o__Desulfuromonadales;f__BM103;g__M0040;s__M0040 sp029859485</t>
  </si>
  <si>
    <t>MAG59</t>
  </si>
  <si>
    <t>d__Bacteria;p__Chloroflexota;c__Anaerolineae;o__J102;f__J102;g__DUEF01;s__</t>
  </si>
  <si>
    <t>d__Bacteria;p__Chloroflexota;c__Caldilineae;o__;f__;g__;s__</t>
  </si>
  <si>
    <t>MAG6</t>
  </si>
  <si>
    <t>MAG60</t>
  </si>
  <si>
    <t>MAG61</t>
  </si>
  <si>
    <t>d__Bacteria;p__Pseudomonadota;c__Gammaproteobacteria;o__Pseudomonadales;f__Halomonadaceae;g__Vreelandella;s__</t>
  </si>
  <si>
    <t>d__Bacteria;p__Pseudomonadota;c__Gammaproteobacteria;o__Oceanospirillales;f__Halomonadaceae;g__Halomonas;s__</t>
  </si>
  <si>
    <t>MAG62</t>
  </si>
  <si>
    <t>d__Bacteria;p__Acidobacteriota;c__UBA890;o__UBA890;f__UBA890;g__CALAKE01;s__</t>
  </si>
  <si>
    <t>MAG63</t>
  </si>
  <si>
    <t>d__Bacteria;p__Pseudomonadota;c__Gammaproteobacteria;o__Cellvibrionales;f__Halieaceae;g__Haliea;s__</t>
  </si>
  <si>
    <t>MAG64</t>
  </si>
  <si>
    <t>d__Bacteria;p__Acidobacteriota;c__Polarisedimenticolia;o__SMYD01;f__SMYD01;g__;s__</t>
  </si>
  <si>
    <t>MAG65</t>
  </si>
  <si>
    <t>MAG66</t>
  </si>
  <si>
    <t>d__Bacteria;p__Pseudomonadota;c__Alphaproteobacteria;o__Rhodobacterales;f__Rhodobacteraceae;g__Jannaschia;s__</t>
  </si>
  <si>
    <t>d__Bacteria;p__Pseudomonadota;c__Alphaproteobacteria;o__Rhodobacterales;f__Roseobacteraceae;g__Jannaschia;s__</t>
  </si>
  <si>
    <t>MAG67</t>
  </si>
  <si>
    <t>d__Bacteria;p__Pseudomonadota;c__Gammaproteobacteria;o__Chromatiales;f__Sedimenticolaceae;g__;s__</t>
  </si>
  <si>
    <t>MAG68</t>
  </si>
  <si>
    <t>d__Bacteria;p__Desulfobacterota;c__Desulfobacteria;o__Desulfobacterales;f__Desulfococcaceae;g__JAABSQ01;s__</t>
  </si>
  <si>
    <t>MAG69</t>
  </si>
  <si>
    <t>d__Bacteria;p__Acidobacteriota;c__Thermoanaerobaculia;o__Thermoanaerobaculales;f__Candidatus Sulfomarinibacteraceae;g__Candidatus Sulfomarinibacter;s__</t>
  </si>
  <si>
    <t>MAG7</t>
  </si>
  <si>
    <t>d__Bacteria;p__Myxococcota;c__UBA796;o__UBA796;f__GCA-2862545;g__JAACDH01;s__</t>
  </si>
  <si>
    <t>MAG70</t>
  </si>
  <si>
    <t>MAG71</t>
  </si>
  <si>
    <t>d__Bacteria;p__Pseudomonadota;c__Gammaproteobacteria;o__Pseudomonadales;f__Nitrincolaceae;g__Motiliproteus;s__</t>
  </si>
  <si>
    <t>d__Bacteria;p__Pseudomonadota;c__Gammaproteobacteria;o__Oceanospirillales;f__Oceanospirillaceae;g__Motiliproteus;s__</t>
  </si>
  <si>
    <t>MAG72</t>
  </si>
  <si>
    <t>MAG73</t>
  </si>
  <si>
    <t>d__Bacteria;p__Chloroflexota;c__Anaerolineae;o__Anaerolineales;f__E44-bin32;g__E44-bin32;s__</t>
  </si>
  <si>
    <t>MAG74</t>
  </si>
  <si>
    <t>d__Bacteria;p__Pseudomonadota;c__Alphaproteobacteria;o__Rhodobacterales;f__Rhodobacteraceae;g__Roseicyclus;s__</t>
  </si>
  <si>
    <t>d__Bacteria;p__Pseudomonadota;c__Alphaproteobacteria;o__Rhodobacterales;f__Roseobacteraceae;g__Roseicyclus;s__</t>
  </si>
  <si>
    <t>MAG75</t>
  </si>
  <si>
    <t>d__Bacteria;p__Pseudomonadota;c__Gammaproteobacteria;o__Xanthomonadales;f__SZUA-36;g__SZUA-36;s__</t>
  </si>
  <si>
    <t>d__Bacteria;p__Pseudomonadota;c__Gammaproteobacteria;o__Xanthomonadales;f__;g__;s__</t>
  </si>
  <si>
    <t>MAG76</t>
  </si>
  <si>
    <t>MAG77</t>
  </si>
  <si>
    <t>d__Bacteria;p__Pseudomonadota;c__Gammaproteobacteria;o__Chromatiales;f__Chromatiaceae;g__Thiohalocapsa;s__</t>
  </si>
  <si>
    <t>MAG78</t>
  </si>
  <si>
    <t>d__Bacteria;p__Acidobacteriota;c__Vicinamibacteria;o__Marinacidobacterales;f__SMYC01;g__;s__</t>
  </si>
  <si>
    <t>Marinacidobacterales</t>
  </si>
  <si>
    <t>MAG79</t>
  </si>
  <si>
    <t>d__Bacteria;p__Desulfobacterota;c__Desulfobacteria;o__Desulfobacterales;f__Desulfobacteraceae;g__Desulfotignum;s__</t>
  </si>
  <si>
    <t>d__Bacteria;p__Thermodesulfobacteriota;c__Desulfobacteria;o__Desulfobacterales;f__Desulfobacteraceae;g__Desulfotignum;s__</t>
  </si>
  <si>
    <t>MAG8</t>
  </si>
  <si>
    <t>MAG80</t>
  </si>
  <si>
    <t>d__Bacteria;p__Gemmatimonadota;c__Gemmatimonadetes;o__Longimicrobiales;f__RSA9;g__SLCC01;s__</t>
  </si>
  <si>
    <t>MAG81</t>
  </si>
  <si>
    <t>d__Bacteria;p__Pseudomonadota;c__Gammaproteobacteria;o__Chromatiales;f__Woeseiaceae;g__;s__</t>
  </si>
  <si>
    <t>MAG82</t>
  </si>
  <si>
    <t>d__Bacteria;p__Verrucomicrobiota;c__Verrucomicrobiae;o__Opitutales;f__Cerasicoccaceae;g__Ruficoccus;s__</t>
  </si>
  <si>
    <t>d__Bacteria;p__Verrucomicrobiota;c__Opitutae;o__Puniceicoccales;f__Cerasicoccaceae;g__Ruficoccus;s__</t>
  </si>
  <si>
    <t>MAG83</t>
  </si>
  <si>
    <t>d__Bacteria;p__Pseudomonadota;c__Alphaproteobacteria;o__Rhizobiales;f__Rhizobiaceae;g__Martelella;s__</t>
  </si>
  <si>
    <t>d__Bacteria;p__Pseudomonadota;c__Alphaproteobacteria;o__Hyphomicrobiales;f__Aurantimonadaceae;g__Martelella;s__</t>
  </si>
  <si>
    <t>MAG84</t>
  </si>
  <si>
    <t>MAG85</t>
  </si>
  <si>
    <t>d__Bacteria;p__Pseudomonadota;c__Gammaproteobacteria;o__Enterobacterales;f__Vibrionaceae;g__Vibrio;s__Vibrio diabolicus</t>
  </si>
  <si>
    <t>d__Bacteria;p__Pseudomonadota;c__Gammaproteobacteria;o__Vibrionales;f__Vibrionaceae;g__Vibrio;s__Vibrio diabolicus</t>
  </si>
  <si>
    <t>MAG86</t>
  </si>
  <si>
    <t>MAG87</t>
  </si>
  <si>
    <t>d__Bacteria;p__Pseudomonadota;c__Alphaproteobacteria;o__Sphingomonadales;f__Sphingomonadaceae;g__Alteriqipengyuania;s__</t>
  </si>
  <si>
    <t>d__Bacteria;p__Pseudomonadota;c__Alphaproteobacteria;o__Sphingomonadales;f__Erythrobacteraceae;g__;s__</t>
  </si>
  <si>
    <t>MAG88</t>
  </si>
  <si>
    <t>d__Bacteria;p__Pseudomonadota;c__Gammaproteobacteria;o__Enterobacterales;f__Shewanellaceae;g__Shewanella;s__Shewanella marisflavi</t>
  </si>
  <si>
    <t>d__Bacteria;p__Pseudomonadota;c__Gammaproteobacteria;o__Alteromonadales;f__Shewanellaceae;g__Shewanella;s__Shewanella marisflavi</t>
  </si>
  <si>
    <t>MAG89</t>
  </si>
  <si>
    <t>d__Bacteria;p__Actinomycetota;c__Actinomycetes;o__Propionibacteriales;f__Nocardioidaceae;g__Aeromicrobium;s__</t>
  </si>
  <si>
    <t>MAG9</t>
  </si>
  <si>
    <t>d__Bacteria;p__Pseudomonadota;c__Alphaproteobacteria;o__Rhodobacterales;f__Rhodobacteraceae;g__Thioclava;s__Thioclava sp002563775</t>
  </si>
  <si>
    <t>d__Bacteria;p__Pseudomonadota;c__Alphaproteobacteria;o__Rhodobacterales;f__Paracoccaceae;g__Thioclava;s__</t>
  </si>
  <si>
    <t>MAG90</t>
  </si>
  <si>
    <t>d__Bacteria;p__Pseudomonadota;c__Gammaproteobacteria;o__Pseudomonadales;f__Alcanivoracaceae;g__Alloalcanivorax;s__</t>
  </si>
  <si>
    <t>d__Bacteria;p__Pseudomonadota;c__Gammaproteobacteria;o__Oceanospirillales;f__Alcanivoracaceae;g__Alloalcanivorax;s__</t>
  </si>
  <si>
    <t>MAG91</t>
  </si>
  <si>
    <t>d__Bacteria;p__Campylobacterota;c__Campylobacteria;o__Campylobacterales;f__Arcobacteraceae;g__Arcobacter;s__</t>
  </si>
  <si>
    <t>d__Bacteria;p__Campylobacterota;c__Epsilonproteobacteria;o__Campylobacterales;f__Arcobacteraceae;g__Arcobacter;s__</t>
  </si>
  <si>
    <t>MAG92</t>
  </si>
  <si>
    <t>d__Bacteria;p__Pseudomonadota;c__Gammaproteobacteria;o__Pseudomonadales;f__Marinomonadaceae;g__Marinomonas;s__</t>
  </si>
  <si>
    <t>d__Bacteria;p__Pseudomonadota;c__Gammaproteobacteria;o__Oceanospirillales;f__Oceanospirillaceae;g__Marinomonas;s__</t>
  </si>
  <si>
    <t>MAG93</t>
  </si>
  <si>
    <t>d__Bacteria;p__Campylobacterota;c__Campylobacteria;o__Campylobacterales;f__Arcobacteraceae;g__Arcobacter_B;s__Arcobacter_B roscoffensis</t>
  </si>
  <si>
    <t>d__Bacteria;p__Campylobacterota;c__Epsilonproteobacteria;o__Campylobacterales;f__Arcobacteraceae;g__Arcobacter;s__Arcobacter roscoffensis</t>
  </si>
  <si>
    <t>MAG94</t>
  </si>
  <si>
    <t>d__Bacteria;p__Pseudomonadota;c__Gammaproteobacteria;o__Enterobacterales;f__Vibrionaceae;g__Vibrio;s__Vibrio litoralis</t>
  </si>
  <si>
    <t>d__Bacteria;p__Pseudomonadota;c__Gammaproteobacteria;o__Vibrionales;f__Vibrionaceae;g__Vibrio;s__Vibrio litoralis</t>
  </si>
  <si>
    <t>MAG95</t>
  </si>
  <si>
    <t>d__Bacteria;p__Pseudomonadota;c__Gammaproteobacteria;o__Oceanospirillales;f__Alcanivoracaceae;g__Marinicella;s__</t>
  </si>
  <si>
    <t>MAG96</t>
  </si>
  <si>
    <t>d__Bacteria;p__Actinomycetota;c__Actinomycetes;o__Actinomycetales;f__Microbacteriaceae;g__Microbacterium;s__</t>
  </si>
  <si>
    <t>d__Bacteria;p__Actinomycetota;c__Actinomycetes;o__Micrococcales;f__Microbacteriaceae;g__Microbacterium;s__</t>
  </si>
  <si>
    <t>MAG97</t>
  </si>
  <si>
    <t>MAG98</t>
  </si>
  <si>
    <t>d__Bacteria;p__Bacillota;c__Bacilli;o__Bacillales_A;f__Planococcaceae;g__Planococcus;s__Planococcus maritimus</t>
  </si>
  <si>
    <t>d__Bacteria;p__Bacillota;c__Bacilli;o__Bacillales;f__Planococcaceae;g__Planococcus;s__Planococcus maritimus</t>
  </si>
  <si>
    <t>Bacillales_A</t>
  </si>
  <si>
    <t>Bacillota</t>
  </si>
  <si>
    <t>MAG99</t>
  </si>
  <si>
    <t>d__Bacteria;p__Pseudomonadota;c__Gammaproteobacteria;o__Enterobacterales;f__Celerinatantimonadaceae;g__Celerinatantimonas;s__</t>
  </si>
  <si>
    <t>d__Bacteria;p__Pseudomonadota;c__Gammaproteobacteria;o__;f__Celerinatantimonadaceae;g__Celerinatantimonas;s__</t>
  </si>
  <si>
    <t>MAG1|s__Halomonas aestuarii</t>
  </si>
  <si>
    <t>MAG10|s__Rhodovulum sulfidophilum</t>
  </si>
  <si>
    <t>MAG100|g__Pricia</t>
  </si>
  <si>
    <t>MAG101|s__Thioclava dalianensis</t>
  </si>
  <si>
    <t>MAG102|g__Psychrosphaera</t>
  </si>
  <si>
    <t>MAG103|g__Pricia</t>
  </si>
  <si>
    <t>MAG104|g__Oleibacter</t>
  </si>
  <si>
    <t>MAG105|g__Terasakiispira</t>
  </si>
  <si>
    <t>MAG106|g__Alteromonas</t>
  </si>
  <si>
    <t>MAG107|s__Cobetia amphilecti</t>
  </si>
  <si>
    <t>MAG108|g__Thalassospira</t>
  </si>
  <si>
    <t>MAG109|s__Wenyingzhuangia marina</t>
  </si>
  <si>
    <t>MAG11|c__Krumholzibacteria</t>
  </si>
  <si>
    <t>MAG110|g__Pseudoalteromonas</t>
  </si>
  <si>
    <t>MAG111|g__Idiomarina</t>
  </si>
  <si>
    <t>MAG112|g__Thioclava</t>
  </si>
  <si>
    <t>MAG113|g__Sulfuricurvum</t>
  </si>
  <si>
    <t>MAG114|c__Krumholzibacteria</t>
  </si>
  <si>
    <t>MAG115|f__Woeseiaceae</t>
  </si>
  <si>
    <t>MAG116|o__Polyangiales</t>
  </si>
  <si>
    <t>MAG117|f__Promineifilaceae</t>
  </si>
  <si>
    <t>MAG118|g__Mesonia</t>
  </si>
  <si>
    <t>MAG119|g__Sinisalibacter</t>
  </si>
  <si>
    <t>MAG12|f__Nitriliruptoraceae</t>
  </si>
  <si>
    <t>MAG120|s__Halomonas ventosae</t>
  </si>
  <si>
    <t>MAG121|g__Roseobacter</t>
  </si>
  <si>
    <t>MAG122|f__Desulfobulbaceae</t>
  </si>
  <si>
    <t>MAG123|g__Thiomicrorhabdus</t>
  </si>
  <si>
    <t>MAG124|o__Polyangiales</t>
  </si>
  <si>
    <t>MAG125|d__Bacteria</t>
  </si>
  <si>
    <t>MAG126|f__Anaerohalosphaeraceae</t>
  </si>
  <si>
    <t>MAG127|g__Halioglobus</t>
  </si>
  <si>
    <t>MAG128|f__Polarisedimenticolaceae</t>
  </si>
  <si>
    <t>MAG129|g__Albimonas</t>
  </si>
  <si>
    <t>MAG13|f__Jiangellaceae</t>
  </si>
  <si>
    <t>MAG130|c__Gammaproteobacteria</t>
  </si>
  <si>
    <t>MAG131|c__Gammaproteobacteria</t>
  </si>
  <si>
    <t>MAG132|o__Desulfobacterales</t>
  </si>
  <si>
    <t>MAG133|g__Lutimonas</t>
  </si>
  <si>
    <t>MAG134|p__Acidobacteriota</t>
  </si>
  <si>
    <t>MAG135|f__Opitutaceae</t>
  </si>
  <si>
    <t>MAG136|f__Crocinitomicaceae</t>
  </si>
  <si>
    <t>MAG137|g__Marinobacter</t>
  </si>
  <si>
    <t>MAG138|o__Desulfobacterales</t>
  </si>
  <si>
    <t>MAG139|g__Ornithinimicrobium_A</t>
  </si>
  <si>
    <t>MAG14|p__Myxococcota</t>
  </si>
  <si>
    <t>MAG140|g__Zunongwangia</t>
  </si>
  <si>
    <t>MAG141|g__Thalassobius</t>
  </si>
  <si>
    <t>MAG142|f__Hyphomicrobiaceae</t>
  </si>
  <si>
    <t>MAG143|c__Acidimicrobiia</t>
  </si>
  <si>
    <t>MAG144|g__Muriiphilus</t>
  </si>
  <si>
    <t>MAG145|c__Acidimicrobiia</t>
  </si>
  <si>
    <t>MAG146|o__Longimicrobiales</t>
  </si>
  <si>
    <t>MAG147|s__Antarcticimicrobium luteum</t>
  </si>
  <si>
    <t>MAG148|o__Multivoradales</t>
  </si>
  <si>
    <t>MAG149|o__Solirubrobacterales</t>
  </si>
  <si>
    <t>MAG15|g__Epibacterium</t>
  </si>
  <si>
    <t>MAG150|g__Polarisedimenticola</t>
  </si>
  <si>
    <t>MAG151|g__Halarcobacter</t>
  </si>
  <si>
    <t>MAG152|f__Palauibacteraceae</t>
  </si>
  <si>
    <t>MAG153|o__Desulfuromonadales</t>
  </si>
  <si>
    <t>MAG154|c__Gammaproteobacteria</t>
  </si>
  <si>
    <t>MAG155|g__Methyloceanibacter</t>
  </si>
  <si>
    <t>MAG156|g__Roseovarius</t>
  </si>
  <si>
    <t>MAG157|f__Woeseiaceae</t>
  </si>
  <si>
    <t>MAG158|g__Sulfurovum</t>
  </si>
  <si>
    <t>MAG159|f__Sulfurimonadaceae</t>
  </si>
  <si>
    <t>MAG16|c__Actinomycetes</t>
  </si>
  <si>
    <t>MAG160|s__Altericroceibacterium indicum</t>
  </si>
  <si>
    <t>MAG161|g__Desulfobulbus_C</t>
  </si>
  <si>
    <t>MAG162|g__Benthicola</t>
  </si>
  <si>
    <t>MAG163|g__Brevefilum</t>
  </si>
  <si>
    <t>MAG164|o__Anaerolineales</t>
  </si>
  <si>
    <t>MAG165|g__Thalassobius</t>
  </si>
  <si>
    <t>MAG166|g__Thalassobius</t>
  </si>
  <si>
    <t>MAG167|g__Marinobacter</t>
  </si>
  <si>
    <t>MAG168|g__Sinisalibacter</t>
  </si>
  <si>
    <t>MAG169|g__Antarcticimicrobium</t>
  </si>
  <si>
    <t>MAG17|c__Gammaproteobacteria</t>
  </si>
  <si>
    <t>MAG170|g__Thalassospira</t>
  </si>
  <si>
    <t>MAG18|g__Halioglobus</t>
  </si>
  <si>
    <t>MAG19|s__Roseovarius tolerans</t>
  </si>
  <si>
    <t>MAG2|o__Desulfuromonadales</t>
  </si>
  <si>
    <t>MAG20|s__Vibrio palustris</t>
  </si>
  <si>
    <t>MAG21|d__Bacteria</t>
  </si>
  <si>
    <t>MAG22|o__Kiloniellales</t>
  </si>
  <si>
    <t>MAG23|g__Sulfurovum</t>
  </si>
  <si>
    <t>MAG24|o__Desulfuromonadales</t>
  </si>
  <si>
    <t>MAG25|g__Yoonia</t>
  </si>
  <si>
    <t>MAG26|f__Desulfurivibrionaceae</t>
  </si>
  <si>
    <t>MAG27|c__Gammaproteobacteria</t>
  </si>
  <si>
    <t>MAG28|s__Vibrio pacinii</t>
  </si>
  <si>
    <t>MAG29|p__Planctomycetota</t>
  </si>
  <si>
    <t>MAG3|g__Roseovarius</t>
  </si>
  <si>
    <t>MAG30|g__Antarcticimicrobium</t>
  </si>
  <si>
    <t>MAG31|f__Promineifilaceae</t>
  </si>
  <si>
    <t>MAG32|o__Desulfobulbales</t>
  </si>
  <si>
    <t>MAG33|g__Limibacillus</t>
  </si>
  <si>
    <t>MAG34|g__Sulfomarinibacter</t>
  </si>
  <si>
    <t>MAG35|g__Amphritea</t>
  </si>
  <si>
    <t>MAG36|f__Caldilineaceae</t>
  </si>
  <si>
    <t>MAG37|g__Nocardioides</t>
  </si>
  <si>
    <t>MAG38|s__Amphritea atlantica_B</t>
  </si>
  <si>
    <t>MAG39|s__Salinicola endophyticus</t>
  </si>
  <si>
    <t>MAG4|f__Ilumatobacteraceae</t>
  </si>
  <si>
    <t>MAG40|f__Rhodobacteraceae</t>
  </si>
  <si>
    <t>MAG41|g__Sinisalibacter</t>
  </si>
  <si>
    <t>MAG42|c__Anaerolineae</t>
  </si>
  <si>
    <t>MAG43|c__Actinomycetes</t>
  </si>
  <si>
    <t>MAG44|f__Actinomycetaceae</t>
  </si>
  <si>
    <t>MAG45|f__Sedimenticolaceae</t>
  </si>
  <si>
    <t>MAG46|c__Acidimicrobiia</t>
  </si>
  <si>
    <t>MAG47|f__Sulfomarinibacteraceae</t>
  </si>
  <si>
    <t>MAG48|c__Krumholzibacteria</t>
  </si>
  <si>
    <t>MAG49|f__Woeseiaceae</t>
  </si>
  <si>
    <t>MAG5|s__Marinobacter sediminum_A</t>
  </si>
  <si>
    <t>MAG50|g__Alteromonas</t>
  </si>
  <si>
    <t>MAG51|c__Syntrophobacteria</t>
  </si>
  <si>
    <t>MAG52|o__Desulfobacterales</t>
  </si>
  <si>
    <t>MAG53|c__Gammaproteobacteria</t>
  </si>
  <si>
    <t>MAG54|o__Bacteroidales</t>
  </si>
  <si>
    <t>MAG55|c__Krumholzibacteria</t>
  </si>
  <si>
    <t>MAG56|c__Krumholzibacteria</t>
  </si>
  <si>
    <t>MAG57|f__Desulfocapsaceae</t>
  </si>
  <si>
    <t>MAG58|o__Desulfuromonadales</t>
  </si>
  <si>
    <t>MAG59|c__Anaerolineae</t>
  </si>
  <si>
    <t>MAG6|f__Nitriliruptoraceae</t>
  </si>
  <si>
    <t>MAG60|g__Brevefilum</t>
  </si>
  <si>
    <t>MAG61|g__Vreelandella</t>
  </si>
  <si>
    <t>MAG62|p__Acidobacteriota</t>
  </si>
  <si>
    <t>MAG63|g__Halioglobus</t>
  </si>
  <si>
    <t>MAG64|c__Polarisedimenticolia</t>
  </si>
  <si>
    <t>MAG65|f__Rhodobacteraceae</t>
  </si>
  <si>
    <t>MAG66|g__Jannaschia</t>
  </si>
  <si>
    <t>MAG67|f__Sedimenticolaceae</t>
  </si>
  <si>
    <t>MAG68|f__Desulfococcaceae</t>
  </si>
  <si>
    <t>MAG69|g__Sulfomarinibacter</t>
  </si>
  <si>
    <t>MAG7|p__Myxococcota</t>
  </si>
  <si>
    <t>MAG70|o__Desulfobacterales</t>
  </si>
  <si>
    <t>MAG71|g__Motiliproteus</t>
  </si>
  <si>
    <t>MAG72|g__Lutimonas</t>
  </si>
  <si>
    <t>MAG73|o__Anaerolineales</t>
  </si>
  <si>
    <t>MAG74|g__Roseicyclus</t>
  </si>
  <si>
    <t>MAG75|o__Xanthomonadales</t>
  </si>
  <si>
    <t>MAG76|f__Woeseiaceae</t>
  </si>
  <si>
    <t>MAG77|g__Thiohalocapsa</t>
  </si>
  <si>
    <t>MAG78|o__Marinacidobacterales</t>
  </si>
  <si>
    <t>MAG79|g__Desulfotignum</t>
  </si>
  <si>
    <t>MAG8|g__Sulfurovum</t>
  </si>
  <si>
    <t>MAG80|o__Longimicrobiales</t>
  </si>
  <si>
    <t>MAG81|f__Woeseiaceae</t>
  </si>
  <si>
    <t>MAG82|g__Ruficoccus</t>
  </si>
  <si>
    <t>MAG83|g__Martelella</t>
  </si>
  <si>
    <t>MAG84|g__Alteromonas</t>
  </si>
  <si>
    <t>MAG85|s__Vibrio diabolicus</t>
  </si>
  <si>
    <t>MAG86|g__Idiomarina</t>
  </si>
  <si>
    <t>MAG87|g__Alteriqipengyuania</t>
  </si>
  <si>
    <t>MAG88|s__Shewanella marisflavi</t>
  </si>
  <si>
    <t>MAG89|g__Aeromicrobium</t>
  </si>
  <si>
    <t>MAG9|g__Thioclava</t>
  </si>
  <si>
    <t>MAG90|g__Alloalcanivorax</t>
  </si>
  <si>
    <t>MAG91|g__Arcobacter</t>
  </si>
  <si>
    <t>MAG92|g__Marinomonas</t>
  </si>
  <si>
    <t>MAG93|s__Arcobacter_B roscoffensis</t>
  </si>
  <si>
    <t>MAG94|s__Vibrio litoralis</t>
  </si>
  <si>
    <t>MAG95|g__Martelella</t>
  </si>
  <si>
    <t>MAG96|g__Microbacterium</t>
  </si>
  <si>
    <t>MAG97|g__Vreelandella</t>
  </si>
  <si>
    <t>MAG98|s__Planococcus maritimus</t>
  </si>
  <si>
    <t>MAG99|g__Celerinatantimonas</t>
  </si>
  <si>
    <t>size (bp)</t>
  </si>
  <si>
    <t>completeness (%)</t>
  </si>
  <si>
    <t>contamination (%)</t>
  </si>
  <si>
    <t>ID in the tree</t>
  </si>
  <si>
    <t>Table S6 Genomic information of all MAGs.</t>
  </si>
  <si>
    <t>Table S5 Information of sixteen DMSP-degrading isolates.</t>
  </si>
  <si>
    <t>Strain name</t>
  </si>
  <si>
    <t>GTDB Order</t>
  </si>
  <si>
    <t>Matched ASV</t>
  </si>
  <si>
    <t>Use DMSP as the sole carbon source</t>
  </si>
  <si>
    <t>Enriched in phyllosphere 13H</t>
  </si>
  <si>
    <t>Enriched in rhizosphere 13H</t>
  </si>
  <si>
    <t>Abundant in T0</t>
  </si>
  <si>
    <t>Genome accession</t>
  </si>
  <si>
    <t>DMS production rate (pmol/mg protein/min)</t>
  </si>
  <si>
    <t>MeSH production rate (pmol/mg protein/min)</t>
  </si>
  <si>
    <t>DMSP assimilation by demethylation</t>
  </si>
  <si>
    <t>ASV2064</t>
  </si>
  <si>
    <t>Y</t>
    <phoneticPr fontId="0" type="noConversion"/>
  </si>
  <si>
    <t>N</t>
  </si>
  <si>
    <t>Y</t>
  </si>
  <si>
    <t>PRJNA1356277</t>
  </si>
  <si>
    <t>3338.66 ± 677.27</t>
  </si>
  <si>
    <t>125.25 ± 29.17</t>
  </si>
  <si>
    <t>Incomplete</t>
  </si>
  <si>
    <t>None</t>
  </si>
  <si>
    <t>No</t>
  </si>
  <si>
    <t>Micrococcales</t>
  </si>
  <si>
    <t>ASV3502</t>
  </si>
  <si>
    <t>N</t>
    <phoneticPr fontId="0" type="noConversion"/>
  </si>
  <si>
    <t>3568.60 ± 317.08</t>
  </si>
  <si>
    <t>Complete</t>
  </si>
  <si>
    <t>ASV3372</t>
  </si>
  <si>
    <t>GCF_000754225.1</t>
  </si>
  <si>
    <t>3576.80 ± 567.00</t>
  </si>
  <si>
    <t>87.71 ± 14.73</t>
  </si>
  <si>
    <t>ASV30</t>
  </si>
  <si>
    <t>GCF_003268885.1</t>
  </si>
  <si>
    <t>2768.58 ± 656.70</t>
  </si>
  <si>
    <t>ASV236</t>
  </si>
  <si>
    <t>GCF_003206575.1</t>
  </si>
  <si>
    <t>1280.95 ± 89.36</t>
  </si>
  <si>
    <t>46.33 ± 0.60</t>
  </si>
  <si>
    <t>ASV3090</t>
  </si>
  <si>
    <t>6491.37 ± 1612.90</t>
  </si>
  <si>
    <t>95.36 ± 15.10</t>
  </si>
  <si>
    <t>ASV1314</t>
  </si>
  <si>
    <t>1802.84 ± 96.11</t>
  </si>
  <si>
    <t>65.44 ± 4.21</t>
  </si>
  <si>
    <t>Rhodospirillales</t>
  </si>
  <si>
    <t>ASV455</t>
  </si>
  <si>
    <t>GCF_001662875.1</t>
  </si>
  <si>
    <t>1654.90 ± 136.27</t>
  </si>
  <si>
    <t>44.72 ± 8.17</t>
  </si>
  <si>
    <t>Staphylococcales</t>
  </si>
  <si>
    <t>ASV3663</t>
  </si>
  <si>
    <t>GCA_020544305.1</t>
  </si>
  <si>
    <t>3933.92 ± 1051.83</t>
  </si>
  <si>
    <t>121.07 ± 31.15</t>
  </si>
  <si>
    <t>ASV2786</t>
  </si>
  <si>
    <t>1877.92 ± 239.39</t>
  </si>
  <si>
    <t>58.87 ± 7.75</t>
  </si>
  <si>
    <t>ASV1929</t>
  </si>
  <si>
    <t>16.24 ± 1.39</t>
  </si>
  <si>
    <t>26.39 ± 3.09</t>
  </si>
  <si>
    <t>ASV2187</t>
  </si>
  <si>
    <t>31.37 ± 8.80</t>
  </si>
  <si>
    <t>ASV3756</t>
  </si>
  <si>
    <t>GCF_001886615.1</t>
  </si>
  <si>
    <t>29.16 ± 3.90</t>
  </si>
  <si>
    <t>65.75 ± 9.19</t>
  </si>
  <si>
    <t>ASV2660</t>
  </si>
  <si>
    <t>GCF_000826835.2</t>
  </si>
  <si>
    <t>248.89 ± 4.85</t>
  </si>
  <si>
    <t>4026.19 ± 213.15</t>
  </si>
  <si>
    <t>Yes</t>
  </si>
  <si>
    <t>ASV362</t>
  </si>
  <si>
    <t>GCF_018219815.1</t>
  </si>
  <si>
    <t>328.09 ± 55.37</t>
  </si>
  <si>
    <t>69.66 ± 9.25</t>
  </si>
  <si>
    <t>ASV1258</t>
  </si>
  <si>
    <t>1518.29 ± 141.17</t>
  </si>
  <si>
    <t>76.09 ± 10.98</t>
  </si>
  <si>
    <t>Idiomarina sp. L35_1</t>
  </si>
  <si>
    <t>Microbacterium sp. L20</t>
  </si>
  <si>
    <t>Cobetia amphilecti L47</t>
  </si>
  <si>
    <t>Onishia taeanensis L45</t>
  </si>
  <si>
    <t>Salinicola endophyticus L11</t>
  </si>
  <si>
    <t>Terasakiispira papahanaumokuakeensis L39_2</t>
  </si>
  <si>
    <t>Vreelandella sp. L30</t>
  </si>
  <si>
    <t>Thalassospira tepidiphila L32_3</t>
  </si>
  <si>
    <t>Staphylococcus taiwanensis L35_2</t>
  </si>
  <si>
    <t>Halarcobacter sp. ISO1</t>
  </si>
  <si>
    <t>Alteromonas sp. ISO5</t>
  </si>
  <si>
    <t>Vibrio spartinae ISO7</t>
  </si>
  <si>
    <t>Halomonas aestuarii ISO13</t>
  </si>
  <si>
    <t>Phaeobacter piscinae ISO17</t>
  </si>
  <si>
    <t>Thalassobius aquimarinus ISO23</t>
  </si>
  <si>
    <t>Thioclava sp. ISO4</t>
  </si>
  <si>
    <r>
      <t xml:space="preserve">Table S4b Taxonomic composition (order; genus) of DMSP synthesis and degradation related genes. </t>
    </r>
    <r>
      <rPr>
        <sz val="16"/>
        <color theme="1"/>
        <rFont val="Aptos Narrow"/>
        <scheme val="minor"/>
      </rPr>
      <t>Their relative gene (% of prokaryotes) and transcript (TPM) abundance in each sample are shown.</t>
    </r>
  </si>
  <si>
    <t>Table S3 Number of reads identified as microbial eukaryotic 18S rRNA gene sequences in phyllosphere and rhizosphere metagenomes. Taxonomic assignment was based on the PR2 (Protist Ribosomal Reference)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</si>
</sst>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3" fillId="0" borderId="0" xfId="0" applyFont="1" applyAlignment="1">
      <alignment vertical="top"/>
    </xf>
    <xf numFmtId="11" fontId="0" fillId="0" borderId="0" xfId="0" applyNumberFormat="1"/>
    <xf numFmtId="0" fontId="5" fillId="0" borderId="0" xfId="0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1943100</xdr:colOff>
      <xdr:row>2</xdr:row>
      <xdr:rowOff>63500</xdr:rowOff>
    </xdr:from>
    <xdr:to>
      <xdr:col>14</xdr:col>
      <xdr:colOff>469900</xdr:colOff>
      <xdr:row>7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C725FF-F962-4A7B-9B03-C7633BB1D173}"/>
            </a:ext>
          </a:extLst>
        </xdr:cNvPr>
        <xdr:cNvSpPr txBox="1"/>
      </xdr:nvSpPr>
      <xdr:spPr>
        <a:xfrm>
          <a:off x="9474200" y="546100"/>
          <a:ext cx="7302500" cy="109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*T0: Total DNA from Natural samples. 13T: Total DNA from ¹³C-DMSP incubation samples. 13H: Heavy-DNA fraction from ¹³C-DMSP incubation samples. 13L: Light-DNA fraction from ¹³C-DMSP incubation samples. 12T: Total DNA from ¹²C-DMSP incubation samples. 12H: Heavy-DNA fraction from ¹²C-DMSP incubation samples. 12L: Light-DNA fraction from ¹²C-DMSP incubation samples.</a:t>
          </a:r>
          <a:r>
            <a:rPr lang="en-GB" sz="1200">
              <a:effectLst/>
            </a:rPr>
            <a:t> </a:t>
          </a:r>
        </a:p>
        <a:p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FAEE-80F0-EE4E-AA55-26F82C2327A2}">
  <dimension ref="A1:F91"/>
  <sheetViews>
    <sheetView tabSelected="1" workbookViewId="0">
      <selection activeCell="A3" sqref="A3:F87"/>
    </sheetView>
  </sheetViews>
  <sheetFormatPr baseColWidth="10" defaultRowHeight="16" x14ac:dyDescent="0.2"/>
  <cols>
    <col min="1" max="1" width="17.33203125" customWidth="1"/>
    <col min="2" max="2" width="17.5" customWidth="1"/>
    <col min="3" max="3" width="35.1640625" customWidth="1"/>
    <col min="4" max="4" width="13.33203125" customWidth="1"/>
    <col min="5" max="5" width="15.5" customWidth="1"/>
    <col min="6" max="6" width="28.5" customWidth="1"/>
  </cols>
  <sheetData>
    <row r="1" spans="1:6" ht="22" x14ac:dyDescent="0.3">
      <c r="A1" s="11" t="s">
        <v>50</v>
      </c>
    </row>
    <row r="3" spans="1:6" x14ac:dyDescent="0.2">
      <c r="A3" s="3" t="s">
        <v>48</v>
      </c>
      <c r="B3" s="3" t="s">
        <v>245</v>
      </c>
      <c r="C3" s="3" t="s">
        <v>49</v>
      </c>
      <c r="D3" s="3" t="s">
        <v>251</v>
      </c>
      <c r="E3" s="3" t="s">
        <v>247</v>
      </c>
      <c r="F3" s="3" t="s">
        <v>231</v>
      </c>
    </row>
    <row r="4" spans="1:6" x14ac:dyDescent="0.2">
      <c r="A4" t="s">
        <v>115</v>
      </c>
      <c r="B4" t="s">
        <v>232</v>
      </c>
      <c r="C4" t="s">
        <v>233</v>
      </c>
      <c r="D4" t="s">
        <v>234</v>
      </c>
      <c r="E4" t="s">
        <v>235</v>
      </c>
      <c r="F4" t="s">
        <v>248</v>
      </c>
    </row>
    <row r="5" spans="1:6" x14ac:dyDescent="0.2">
      <c r="A5" t="s">
        <v>116</v>
      </c>
      <c r="B5" t="s">
        <v>232</v>
      </c>
      <c r="C5" t="s">
        <v>233</v>
      </c>
      <c r="D5" t="s">
        <v>234</v>
      </c>
      <c r="E5" t="s">
        <v>235</v>
      </c>
      <c r="F5" t="s">
        <v>248</v>
      </c>
    </row>
    <row r="6" spans="1:6" x14ac:dyDescent="0.2">
      <c r="A6" t="s">
        <v>117</v>
      </c>
      <c r="B6" t="s">
        <v>232</v>
      </c>
      <c r="C6" t="s">
        <v>233</v>
      </c>
      <c r="D6" t="s">
        <v>234</v>
      </c>
      <c r="E6" t="s">
        <v>235</v>
      </c>
      <c r="F6" t="s">
        <v>248</v>
      </c>
    </row>
    <row r="7" spans="1:6" x14ac:dyDescent="0.2">
      <c r="A7" t="s">
        <v>118</v>
      </c>
      <c r="B7" t="s">
        <v>232</v>
      </c>
      <c r="C7" t="s">
        <v>233</v>
      </c>
      <c r="D7" t="s">
        <v>234</v>
      </c>
      <c r="E7" t="s">
        <v>236</v>
      </c>
      <c r="F7" t="s">
        <v>248</v>
      </c>
    </row>
    <row r="8" spans="1:6" x14ac:dyDescent="0.2">
      <c r="A8" t="s">
        <v>119</v>
      </c>
      <c r="B8" t="s">
        <v>232</v>
      </c>
      <c r="C8" t="s">
        <v>233</v>
      </c>
      <c r="D8" t="s">
        <v>234</v>
      </c>
      <c r="E8" t="s">
        <v>236</v>
      </c>
      <c r="F8" t="s">
        <v>248</v>
      </c>
    </row>
    <row r="9" spans="1:6" x14ac:dyDescent="0.2">
      <c r="A9" t="s">
        <v>120</v>
      </c>
      <c r="B9" t="s">
        <v>232</v>
      </c>
      <c r="C9" t="s">
        <v>233</v>
      </c>
      <c r="D9" t="s">
        <v>234</v>
      </c>
      <c r="E9" t="s">
        <v>236</v>
      </c>
      <c r="F9" t="s">
        <v>248</v>
      </c>
    </row>
    <row r="10" spans="1:6" x14ac:dyDescent="0.2">
      <c r="A10" t="s">
        <v>121</v>
      </c>
      <c r="B10" t="s">
        <v>232</v>
      </c>
      <c r="C10" t="s">
        <v>167</v>
      </c>
      <c r="D10" t="s">
        <v>234</v>
      </c>
      <c r="E10" t="s">
        <v>235</v>
      </c>
      <c r="F10" t="s">
        <v>248</v>
      </c>
    </row>
    <row r="11" spans="1:6" x14ac:dyDescent="0.2">
      <c r="A11" t="s">
        <v>122</v>
      </c>
      <c r="B11" t="s">
        <v>232</v>
      </c>
      <c r="C11" t="s">
        <v>167</v>
      </c>
      <c r="D11" t="s">
        <v>234</v>
      </c>
      <c r="E11" t="s">
        <v>235</v>
      </c>
      <c r="F11" t="s">
        <v>248</v>
      </c>
    </row>
    <row r="12" spans="1:6" x14ac:dyDescent="0.2">
      <c r="A12" t="s">
        <v>123</v>
      </c>
      <c r="B12" t="s">
        <v>232</v>
      </c>
      <c r="C12" t="s">
        <v>167</v>
      </c>
      <c r="D12" t="s">
        <v>234</v>
      </c>
      <c r="E12" t="s">
        <v>235</v>
      </c>
      <c r="F12" t="s">
        <v>248</v>
      </c>
    </row>
    <row r="13" spans="1:6" x14ac:dyDescent="0.2">
      <c r="A13" t="s">
        <v>124</v>
      </c>
      <c r="B13" t="s">
        <v>232</v>
      </c>
      <c r="C13" t="s">
        <v>167</v>
      </c>
      <c r="D13" t="s">
        <v>234</v>
      </c>
      <c r="E13" t="s">
        <v>236</v>
      </c>
      <c r="F13" t="s">
        <v>248</v>
      </c>
    </row>
    <row r="14" spans="1:6" x14ac:dyDescent="0.2">
      <c r="A14" t="s">
        <v>125</v>
      </c>
      <c r="B14" t="s">
        <v>232</v>
      </c>
      <c r="C14" t="s">
        <v>167</v>
      </c>
      <c r="D14" t="s">
        <v>234</v>
      </c>
      <c r="E14" t="s">
        <v>236</v>
      </c>
      <c r="F14" t="s">
        <v>248</v>
      </c>
    </row>
    <row r="15" spans="1:6" x14ac:dyDescent="0.2">
      <c r="A15" t="s">
        <v>126</v>
      </c>
      <c r="B15" t="s">
        <v>232</v>
      </c>
      <c r="C15" t="s">
        <v>167</v>
      </c>
      <c r="D15" t="s">
        <v>234</v>
      </c>
      <c r="E15" t="s">
        <v>236</v>
      </c>
      <c r="F15" t="s">
        <v>248</v>
      </c>
    </row>
    <row r="16" spans="1:6" x14ac:dyDescent="0.2">
      <c r="A16" t="s">
        <v>127</v>
      </c>
      <c r="B16" t="s">
        <v>232</v>
      </c>
      <c r="C16" t="s">
        <v>246</v>
      </c>
      <c r="D16" t="s">
        <v>234</v>
      </c>
      <c r="E16" t="s">
        <v>235</v>
      </c>
      <c r="F16" t="s">
        <v>248</v>
      </c>
    </row>
    <row r="17" spans="1:6" x14ac:dyDescent="0.2">
      <c r="A17" t="s">
        <v>128</v>
      </c>
      <c r="B17" t="s">
        <v>232</v>
      </c>
      <c r="C17" t="s">
        <v>246</v>
      </c>
      <c r="D17" t="s">
        <v>234</v>
      </c>
      <c r="E17" t="s">
        <v>235</v>
      </c>
      <c r="F17" t="s">
        <v>248</v>
      </c>
    </row>
    <row r="18" spans="1:6" x14ac:dyDescent="0.2">
      <c r="A18" t="s">
        <v>129</v>
      </c>
      <c r="B18" t="s">
        <v>232</v>
      </c>
      <c r="C18" t="s">
        <v>246</v>
      </c>
      <c r="D18" t="s">
        <v>234</v>
      </c>
      <c r="E18" t="s">
        <v>235</v>
      </c>
      <c r="F18" t="s">
        <v>248</v>
      </c>
    </row>
    <row r="19" spans="1:6" x14ac:dyDescent="0.2">
      <c r="A19" t="s">
        <v>130</v>
      </c>
      <c r="B19" t="s">
        <v>232</v>
      </c>
      <c r="C19" t="s">
        <v>246</v>
      </c>
      <c r="D19" t="s">
        <v>234</v>
      </c>
      <c r="E19" t="s">
        <v>236</v>
      </c>
      <c r="F19" t="s">
        <v>248</v>
      </c>
    </row>
    <row r="20" spans="1:6" x14ac:dyDescent="0.2">
      <c r="A20" t="s">
        <v>131</v>
      </c>
      <c r="B20" t="s">
        <v>232</v>
      </c>
      <c r="C20" t="s">
        <v>246</v>
      </c>
      <c r="D20" t="s">
        <v>234</v>
      </c>
      <c r="E20" t="s">
        <v>236</v>
      </c>
      <c r="F20" t="s">
        <v>248</v>
      </c>
    </row>
    <row r="21" spans="1:6" x14ac:dyDescent="0.2">
      <c r="A21" t="s">
        <v>132</v>
      </c>
      <c r="B21" t="s">
        <v>232</v>
      </c>
      <c r="C21" t="s">
        <v>246</v>
      </c>
      <c r="D21" t="s">
        <v>234</v>
      </c>
      <c r="E21" t="s">
        <v>236</v>
      </c>
      <c r="F21" t="s">
        <v>248</v>
      </c>
    </row>
    <row r="22" spans="1:6" x14ac:dyDescent="0.2">
      <c r="A22" t="s">
        <v>133</v>
      </c>
      <c r="B22" t="s">
        <v>232</v>
      </c>
      <c r="C22" t="s">
        <v>246</v>
      </c>
      <c r="D22" t="s">
        <v>237</v>
      </c>
      <c r="E22" t="s">
        <v>235</v>
      </c>
      <c r="F22" t="s">
        <v>248</v>
      </c>
    </row>
    <row r="23" spans="1:6" x14ac:dyDescent="0.2">
      <c r="A23" t="s">
        <v>134</v>
      </c>
      <c r="B23" t="s">
        <v>232</v>
      </c>
      <c r="C23" t="s">
        <v>246</v>
      </c>
      <c r="D23" t="s">
        <v>237</v>
      </c>
      <c r="E23" t="s">
        <v>235</v>
      </c>
      <c r="F23" t="s">
        <v>248</v>
      </c>
    </row>
    <row r="24" spans="1:6" x14ac:dyDescent="0.2">
      <c r="A24" t="s">
        <v>135</v>
      </c>
      <c r="B24" t="s">
        <v>232</v>
      </c>
      <c r="C24" t="s">
        <v>246</v>
      </c>
      <c r="D24" t="s">
        <v>237</v>
      </c>
      <c r="E24" t="s">
        <v>235</v>
      </c>
      <c r="F24" t="s">
        <v>248</v>
      </c>
    </row>
    <row r="25" spans="1:6" x14ac:dyDescent="0.2">
      <c r="A25" t="s">
        <v>136</v>
      </c>
      <c r="B25" t="s">
        <v>232</v>
      </c>
      <c r="C25" t="s">
        <v>246</v>
      </c>
      <c r="D25" t="s">
        <v>238</v>
      </c>
      <c r="E25" t="s">
        <v>235</v>
      </c>
      <c r="F25" t="s">
        <v>248</v>
      </c>
    </row>
    <row r="26" spans="1:6" x14ac:dyDescent="0.2">
      <c r="A26" t="s">
        <v>137</v>
      </c>
      <c r="B26" t="s">
        <v>232</v>
      </c>
      <c r="C26" t="s">
        <v>246</v>
      </c>
      <c r="D26" t="s">
        <v>238</v>
      </c>
      <c r="E26" t="s">
        <v>235</v>
      </c>
      <c r="F26" t="s">
        <v>248</v>
      </c>
    </row>
    <row r="27" spans="1:6" x14ac:dyDescent="0.2">
      <c r="A27" t="s">
        <v>138</v>
      </c>
      <c r="B27" t="s">
        <v>232</v>
      </c>
      <c r="C27" t="s">
        <v>246</v>
      </c>
      <c r="D27" t="s">
        <v>238</v>
      </c>
      <c r="E27" t="s">
        <v>235</v>
      </c>
      <c r="F27" t="s">
        <v>248</v>
      </c>
    </row>
    <row r="28" spans="1:6" x14ac:dyDescent="0.2">
      <c r="A28" t="s">
        <v>139</v>
      </c>
      <c r="B28" t="s">
        <v>232</v>
      </c>
      <c r="C28" t="s">
        <v>246</v>
      </c>
      <c r="D28" t="s">
        <v>239</v>
      </c>
      <c r="E28" t="s">
        <v>235</v>
      </c>
      <c r="F28" t="s">
        <v>248</v>
      </c>
    </row>
    <row r="29" spans="1:6" x14ac:dyDescent="0.2">
      <c r="A29" t="s">
        <v>140</v>
      </c>
      <c r="B29" t="s">
        <v>232</v>
      </c>
      <c r="C29" t="s">
        <v>246</v>
      </c>
      <c r="D29" t="s">
        <v>239</v>
      </c>
      <c r="E29" t="s">
        <v>235</v>
      </c>
      <c r="F29" t="s">
        <v>248</v>
      </c>
    </row>
    <row r="30" spans="1:6" x14ac:dyDescent="0.2">
      <c r="A30" t="s">
        <v>141</v>
      </c>
      <c r="B30" t="s">
        <v>232</v>
      </c>
      <c r="C30" t="s">
        <v>246</v>
      </c>
      <c r="D30" t="s">
        <v>239</v>
      </c>
      <c r="E30" t="s">
        <v>235</v>
      </c>
      <c r="F30" t="s">
        <v>248</v>
      </c>
    </row>
    <row r="31" spans="1:6" x14ac:dyDescent="0.2">
      <c r="A31" t="s">
        <v>142</v>
      </c>
      <c r="B31" t="s">
        <v>232</v>
      </c>
      <c r="C31" t="s">
        <v>246</v>
      </c>
      <c r="D31" t="s">
        <v>240</v>
      </c>
      <c r="E31" t="s">
        <v>235</v>
      </c>
      <c r="F31" t="s">
        <v>248</v>
      </c>
    </row>
    <row r="32" spans="1:6" x14ac:dyDescent="0.2">
      <c r="A32" t="s">
        <v>143</v>
      </c>
      <c r="B32" t="s">
        <v>232</v>
      </c>
      <c r="C32" t="s">
        <v>246</v>
      </c>
      <c r="D32" t="s">
        <v>240</v>
      </c>
      <c r="E32" t="s">
        <v>235</v>
      </c>
      <c r="F32" t="s">
        <v>248</v>
      </c>
    </row>
    <row r="33" spans="1:6" x14ac:dyDescent="0.2">
      <c r="A33" t="s">
        <v>144</v>
      </c>
      <c r="B33" t="s">
        <v>232</v>
      </c>
      <c r="C33" t="s">
        <v>246</v>
      </c>
      <c r="D33" t="s">
        <v>240</v>
      </c>
      <c r="E33" t="s">
        <v>235</v>
      </c>
      <c r="F33" t="s">
        <v>248</v>
      </c>
    </row>
    <row r="34" spans="1:6" x14ac:dyDescent="0.2">
      <c r="A34" t="s">
        <v>145</v>
      </c>
      <c r="B34" t="s">
        <v>232</v>
      </c>
      <c r="C34" t="s">
        <v>246</v>
      </c>
      <c r="D34" t="s">
        <v>241</v>
      </c>
      <c r="E34" t="s">
        <v>235</v>
      </c>
      <c r="F34" t="s">
        <v>248</v>
      </c>
    </row>
    <row r="35" spans="1:6" x14ac:dyDescent="0.2">
      <c r="A35" t="s">
        <v>146</v>
      </c>
      <c r="B35" t="s">
        <v>232</v>
      </c>
      <c r="C35" t="s">
        <v>246</v>
      </c>
      <c r="D35" t="s">
        <v>241</v>
      </c>
      <c r="E35" t="s">
        <v>235</v>
      </c>
      <c r="F35" t="s">
        <v>248</v>
      </c>
    </row>
    <row r="36" spans="1:6" x14ac:dyDescent="0.2">
      <c r="A36" t="s">
        <v>147</v>
      </c>
      <c r="B36" t="s">
        <v>232</v>
      </c>
      <c r="C36" t="s">
        <v>246</v>
      </c>
      <c r="D36" t="s">
        <v>241</v>
      </c>
      <c r="E36" t="s">
        <v>235</v>
      </c>
      <c r="F36" t="s">
        <v>248</v>
      </c>
    </row>
    <row r="37" spans="1:6" x14ac:dyDescent="0.2">
      <c r="A37" t="s">
        <v>148</v>
      </c>
      <c r="B37" t="s">
        <v>232</v>
      </c>
      <c r="C37" t="s">
        <v>246</v>
      </c>
      <c r="D37" t="s">
        <v>242</v>
      </c>
      <c r="E37" t="s">
        <v>235</v>
      </c>
      <c r="F37" t="s">
        <v>248</v>
      </c>
    </row>
    <row r="38" spans="1:6" x14ac:dyDescent="0.2">
      <c r="A38" t="s">
        <v>149</v>
      </c>
      <c r="B38" t="s">
        <v>232</v>
      </c>
      <c r="C38" t="s">
        <v>246</v>
      </c>
      <c r="D38" t="s">
        <v>242</v>
      </c>
      <c r="E38" t="s">
        <v>235</v>
      </c>
      <c r="F38" t="s">
        <v>248</v>
      </c>
    </row>
    <row r="39" spans="1:6" x14ac:dyDescent="0.2">
      <c r="A39" t="s">
        <v>150</v>
      </c>
      <c r="B39" t="s">
        <v>232</v>
      </c>
      <c r="C39" t="s">
        <v>246</v>
      </c>
      <c r="D39" t="s">
        <v>242</v>
      </c>
      <c r="E39" t="s">
        <v>235</v>
      </c>
      <c r="F39" t="s">
        <v>248</v>
      </c>
    </row>
    <row r="40" spans="1:6" x14ac:dyDescent="0.2">
      <c r="A40" t="s">
        <v>52</v>
      </c>
      <c r="B40" t="s">
        <v>232</v>
      </c>
      <c r="C40" t="s">
        <v>167</v>
      </c>
      <c r="D40" t="s">
        <v>234</v>
      </c>
      <c r="E40" t="s">
        <v>235</v>
      </c>
      <c r="F40" t="s">
        <v>249</v>
      </c>
    </row>
    <row r="41" spans="1:6" x14ac:dyDescent="0.2">
      <c r="A41" t="s">
        <v>53</v>
      </c>
      <c r="B41" t="s">
        <v>232</v>
      </c>
      <c r="C41" t="s">
        <v>167</v>
      </c>
      <c r="D41" t="s">
        <v>234</v>
      </c>
      <c r="E41" t="s">
        <v>235</v>
      </c>
      <c r="F41" t="s">
        <v>249</v>
      </c>
    </row>
    <row r="42" spans="1:6" x14ac:dyDescent="0.2">
      <c r="A42" t="s">
        <v>54</v>
      </c>
      <c r="B42" t="s">
        <v>232</v>
      </c>
      <c r="C42" t="s">
        <v>167</v>
      </c>
      <c r="D42" t="s">
        <v>234</v>
      </c>
      <c r="E42" t="s">
        <v>235</v>
      </c>
      <c r="F42" t="s">
        <v>249</v>
      </c>
    </row>
    <row r="43" spans="1:6" x14ac:dyDescent="0.2">
      <c r="A43" t="s">
        <v>55</v>
      </c>
      <c r="B43" t="s">
        <v>232</v>
      </c>
      <c r="C43" t="s">
        <v>167</v>
      </c>
      <c r="D43" t="s">
        <v>234</v>
      </c>
      <c r="E43" t="s">
        <v>236</v>
      </c>
      <c r="F43" t="s">
        <v>250</v>
      </c>
    </row>
    <row r="44" spans="1:6" x14ac:dyDescent="0.2">
      <c r="A44" t="s">
        <v>56</v>
      </c>
      <c r="B44" t="s">
        <v>232</v>
      </c>
      <c r="C44" t="s">
        <v>167</v>
      </c>
      <c r="D44" t="s">
        <v>234</v>
      </c>
      <c r="E44" t="s">
        <v>236</v>
      </c>
      <c r="F44" t="s">
        <v>250</v>
      </c>
    </row>
    <row r="45" spans="1:6" x14ac:dyDescent="0.2">
      <c r="A45" t="s">
        <v>57</v>
      </c>
      <c r="B45" t="s">
        <v>232</v>
      </c>
      <c r="C45" t="s">
        <v>167</v>
      </c>
      <c r="D45" t="s">
        <v>234</v>
      </c>
      <c r="E45" t="s">
        <v>236</v>
      </c>
      <c r="F45" t="s">
        <v>250</v>
      </c>
    </row>
    <row r="46" spans="1:6" x14ac:dyDescent="0.2">
      <c r="A46" t="s">
        <v>61</v>
      </c>
      <c r="B46" t="s">
        <v>232</v>
      </c>
      <c r="C46" t="s">
        <v>246</v>
      </c>
      <c r="D46" t="s">
        <v>241</v>
      </c>
      <c r="E46" t="s">
        <v>235</v>
      </c>
      <c r="F46" t="s">
        <v>249</v>
      </c>
    </row>
    <row r="47" spans="1:6" x14ac:dyDescent="0.2">
      <c r="A47" t="s">
        <v>62</v>
      </c>
      <c r="B47" t="s">
        <v>232</v>
      </c>
      <c r="C47" t="s">
        <v>246</v>
      </c>
      <c r="D47" t="s">
        <v>241</v>
      </c>
      <c r="E47" t="s">
        <v>235</v>
      </c>
      <c r="F47" t="s">
        <v>249</v>
      </c>
    </row>
    <row r="48" spans="1:6" x14ac:dyDescent="0.2">
      <c r="A48" t="s">
        <v>63</v>
      </c>
      <c r="B48" t="s">
        <v>232</v>
      </c>
      <c r="C48" t="s">
        <v>246</v>
      </c>
      <c r="D48" t="s">
        <v>241</v>
      </c>
      <c r="E48" t="s">
        <v>235</v>
      </c>
      <c r="F48" t="s">
        <v>249</v>
      </c>
    </row>
    <row r="49" spans="1:6" x14ac:dyDescent="0.2">
      <c r="A49" t="s">
        <v>58</v>
      </c>
      <c r="B49" t="s">
        <v>232</v>
      </c>
      <c r="C49" t="s">
        <v>246</v>
      </c>
      <c r="D49" t="s">
        <v>242</v>
      </c>
      <c r="E49" t="s">
        <v>235</v>
      </c>
      <c r="F49" t="s">
        <v>249</v>
      </c>
    </row>
    <row r="50" spans="1:6" x14ac:dyDescent="0.2">
      <c r="A50" t="s">
        <v>59</v>
      </c>
      <c r="B50" t="s">
        <v>232</v>
      </c>
      <c r="C50" t="s">
        <v>246</v>
      </c>
      <c r="D50" t="s">
        <v>242</v>
      </c>
      <c r="E50" t="s">
        <v>235</v>
      </c>
      <c r="F50" t="s">
        <v>249</v>
      </c>
    </row>
    <row r="51" spans="1:6" x14ac:dyDescent="0.2">
      <c r="A51" t="s">
        <v>60</v>
      </c>
      <c r="B51" t="s">
        <v>232</v>
      </c>
      <c r="C51" t="s">
        <v>246</v>
      </c>
      <c r="D51" t="s">
        <v>242</v>
      </c>
      <c r="E51" t="s">
        <v>235</v>
      </c>
      <c r="F51" t="s">
        <v>249</v>
      </c>
    </row>
    <row r="52" spans="1:6" x14ac:dyDescent="0.2">
      <c r="A52" t="s">
        <v>92</v>
      </c>
      <c r="B52" t="s">
        <v>243</v>
      </c>
      <c r="C52" t="s">
        <v>86</v>
      </c>
      <c r="D52" t="s">
        <v>234</v>
      </c>
      <c r="E52" t="s">
        <v>235</v>
      </c>
      <c r="F52" t="s">
        <v>248</v>
      </c>
    </row>
    <row r="53" spans="1:6" x14ac:dyDescent="0.2">
      <c r="A53" t="s">
        <v>93</v>
      </c>
      <c r="B53" t="s">
        <v>243</v>
      </c>
      <c r="C53" t="s">
        <v>86</v>
      </c>
      <c r="D53" t="s">
        <v>234</v>
      </c>
      <c r="E53" t="s">
        <v>235</v>
      </c>
      <c r="F53" t="s">
        <v>248</v>
      </c>
    </row>
    <row r="54" spans="1:6" x14ac:dyDescent="0.2">
      <c r="A54" t="s">
        <v>94</v>
      </c>
      <c r="B54" t="s">
        <v>243</v>
      </c>
      <c r="C54" t="s">
        <v>86</v>
      </c>
      <c r="D54" t="s">
        <v>234</v>
      </c>
      <c r="E54" t="s">
        <v>235</v>
      </c>
      <c r="F54" t="s">
        <v>248</v>
      </c>
    </row>
    <row r="55" spans="1:6" x14ac:dyDescent="0.2">
      <c r="A55" t="s">
        <v>95</v>
      </c>
      <c r="B55" t="s">
        <v>243</v>
      </c>
      <c r="C55" t="s">
        <v>86</v>
      </c>
      <c r="D55" t="s">
        <v>234</v>
      </c>
      <c r="E55" t="s">
        <v>236</v>
      </c>
      <c r="F55" t="s">
        <v>248</v>
      </c>
    </row>
    <row r="56" spans="1:6" x14ac:dyDescent="0.2">
      <c r="A56" t="s">
        <v>244</v>
      </c>
      <c r="B56" t="s">
        <v>243</v>
      </c>
      <c r="C56" t="s">
        <v>86</v>
      </c>
      <c r="D56" t="s">
        <v>234</v>
      </c>
      <c r="E56" t="s">
        <v>236</v>
      </c>
      <c r="F56" t="s">
        <v>248</v>
      </c>
    </row>
    <row r="57" spans="1:6" x14ac:dyDescent="0.2">
      <c r="A57" t="s">
        <v>96</v>
      </c>
      <c r="B57" t="s">
        <v>243</v>
      </c>
      <c r="C57" t="s">
        <v>86</v>
      </c>
      <c r="D57" t="s">
        <v>234</v>
      </c>
      <c r="E57" t="s">
        <v>236</v>
      </c>
      <c r="F57" t="s">
        <v>248</v>
      </c>
    </row>
    <row r="58" spans="1:6" x14ac:dyDescent="0.2">
      <c r="A58" t="s">
        <v>97</v>
      </c>
      <c r="B58" t="s">
        <v>243</v>
      </c>
      <c r="C58" t="s">
        <v>86</v>
      </c>
      <c r="D58" t="s">
        <v>237</v>
      </c>
      <c r="E58" t="s">
        <v>235</v>
      </c>
      <c r="F58" t="s">
        <v>248</v>
      </c>
    </row>
    <row r="59" spans="1:6" x14ac:dyDescent="0.2">
      <c r="A59" t="s">
        <v>98</v>
      </c>
      <c r="B59" t="s">
        <v>243</v>
      </c>
      <c r="C59" t="s">
        <v>86</v>
      </c>
      <c r="D59" t="s">
        <v>237</v>
      </c>
      <c r="E59" t="s">
        <v>235</v>
      </c>
      <c r="F59" t="s">
        <v>248</v>
      </c>
    </row>
    <row r="60" spans="1:6" x14ac:dyDescent="0.2">
      <c r="A60" t="s">
        <v>99</v>
      </c>
      <c r="B60" t="s">
        <v>243</v>
      </c>
      <c r="C60" t="s">
        <v>86</v>
      </c>
      <c r="D60" t="s">
        <v>237</v>
      </c>
      <c r="E60" t="s">
        <v>235</v>
      </c>
      <c r="F60" t="s">
        <v>248</v>
      </c>
    </row>
    <row r="61" spans="1:6" x14ac:dyDescent="0.2">
      <c r="A61" t="s">
        <v>100</v>
      </c>
      <c r="B61" t="s">
        <v>243</v>
      </c>
      <c r="C61" t="s">
        <v>86</v>
      </c>
      <c r="D61" t="s">
        <v>238</v>
      </c>
      <c r="E61" t="s">
        <v>235</v>
      </c>
      <c r="F61" t="s">
        <v>248</v>
      </c>
    </row>
    <row r="62" spans="1:6" x14ac:dyDescent="0.2">
      <c r="A62" t="s">
        <v>101</v>
      </c>
      <c r="B62" t="s">
        <v>243</v>
      </c>
      <c r="C62" t="s">
        <v>86</v>
      </c>
      <c r="D62" t="s">
        <v>238</v>
      </c>
      <c r="E62" t="s">
        <v>235</v>
      </c>
      <c r="F62" t="s">
        <v>248</v>
      </c>
    </row>
    <row r="63" spans="1:6" x14ac:dyDescent="0.2">
      <c r="A63" t="s">
        <v>102</v>
      </c>
      <c r="B63" t="s">
        <v>243</v>
      </c>
      <c r="C63" t="s">
        <v>86</v>
      </c>
      <c r="D63" t="s">
        <v>238</v>
      </c>
      <c r="E63" t="s">
        <v>235</v>
      </c>
      <c r="F63" t="s">
        <v>248</v>
      </c>
    </row>
    <row r="64" spans="1:6" x14ac:dyDescent="0.2">
      <c r="A64" t="s">
        <v>103</v>
      </c>
      <c r="B64" t="s">
        <v>243</v>
      </c>
      <c r="C64" t="s">
        <v>86</v>
      </c>
      <c r="D64" t="s">
        <v>239</v>
      </c>
      <c r="E64" t="s">
        <v>235</v>
      </c>
      <c r="F64" t="s">
        <v>248</v>
      </c>
    </row>
    <row r="65" spans="1:6" x14ac:dyDescent="0.2">
      <c r="A65" t="s">
        <v>104</v>
      </c>
      <c r="B65" t="s">
        <v>243</v>
      </c>
      <c r="C65" t="s">
        <v>86</v>
      </c>
      <c r="D65" t="s">
        <v>239</v>
      </c>
      <c r="E65" t="s">
        <v>235</v>
      </c>
      <c r="F65" t="s">
        <v>248</v>
      </c>
    </row>
    <row r="66" spans="1:6" x14ac:dyDescent="0.2">
      <c r="A66" t="s">
        <v>105</v>
      </c>
      <c r="B66" t="s">
        <v>243</v>
      </c>
      <c r="C66" t="s">
        <v>86</v>
      </c>
      <c r="D66" t="s">
        <v>239</v>
      </c>
      <c r="E66" t="s">
        <v>235</v>
      </c>
      <c r="F66" t="s">
        <v>248</v>
      </c>
    </row>
    <row r="67" spans="1:6" x14ac:dyDescent="0.2">
      <c r="A67" t="s">
        <v>106</v>
      </c>
      <c r="B67" t="s">
        <v>243</v>
      </c>
      <c r="C67" t="s">
        <v>86</v>
      </c>
      <c r="D67" t="s">
        <v>240</v>
      </c>
      <c r="E67" t="s">
        <v>235</v>
      </c>
      <c r="F67" t="s">
        <v>248</v>
      </c>
    </row>
    <row r="68" spans="1:6" x14ac:dyDescent="0.2">
      <c r="A68" t="s">
        <v>107</v>
      </c>
      <c r="B68" t="s">
        <v>243</v>
      </c>
      <c r="C68" t="s">
        <v>86</v>
      </c>
      <c r="D68" t="s">
        <v>240</v>
      </c>
      <c r="E68" t="s">
        <v>235</v>
      </c>
      <c r="F68" t="s">
        <v>248</v>
      </c>
    </row>
    <row r="69" spans="1:6" x14ac:dyDescent="0.2">
      <c r="A69" t="s">
        <v>108</v>
      </c>
      <c r="B69" t="s">
        <v>243</v>
      </c>
      <c r="C69" t="s">
        <v>86</v>
      </c>
      <c r="D69" t="s">
        <v>240</v>
      </c>
      <c r="E69" t="s">
        <v>235</v>
      </c>
      <c r="F69" t="s">
        <v>248</v>
      </c>
    </row>
    <row r="70" spans="1:6" x14ac:dyDescent="0.2">
      <c r="A70" t="s">
        <v>109</v>
      </c>
      <c r="B70" t="s">
        <v>243</v>
      </c>
      <c r="C70" t="s">
        <v>86</v>
      </c>
      <c r="D70" t="s">
        <v>241</v>
      </c>
      <c r="E70" t="s">
        <v>235</v>
      </c>
      <c r="F70" t="s">
        <v>248</v>
      </c>
    </row>
    <row r="71" spans="1:6" x14ac:dyDescent="0.2">
      <c r="A71" t="s">
        <v>110</v>
      </c>
      <c r="B71" t="s">
        <v>243</v>
      </c>
      <c r="C71" t="s">
        <v>86</v>
      </c>
      <c r="D71" t="s">
        <v>241</v>
      </c>
      <c r="E71" t="s">
        <v>235</v>
      </c>
      <c r="F71" t="s">
        <v>248</v>
      </c>
    </row>
    <row r="72" spans="1:6" x14ac:dyDescent="0.2">
      <c r="A72" t="s">
        <v>111</v>
      </c>
      <c r="B72" t="s">
        <v>243</v>
      </c>
      <c r="C72" t="s">
        <v>86</v>
      </c>
      <c r="D72" t="s">
        <v>241</v>
      </c>
      <c r="E72" t="s">
        <v>235</v>
      </c>
      <c r="F72" t="s">
        <v>248</v>
      </c>
    </row>
    <row r="73" spans="1:6" x14ac:dyDescent="0.2">
      <c r="A73" t="s">
        <v>112</v>
      </c>
      <c r="B73" t="s">
        <v>243</v>
      </c>
      <c r="C73" t="s">
        <v>86</v>
      </c>
      <c r="D73" t="s">
        <v>242</v>
      </c>
      <c r="E73" t="s">
        <v>235</v>
      </c>
      <c r="F73" t="s">
        <v>248</v>
      </c>
    </row>
    <row r="74" spans="1:6" x14ac:dyDescent="0.2">
      <c r="A74" t="s">
        <v>113</v>
      </c>
      <c r="B74" t="s">
        <v>243</v>
      </c>
      <c r="C74" t="s">
        <v>86</v>
      </c>
      <c r="D74" t="s">
        <v>242</v>
      </c>
      <c r="E74" t="s">
        <v>235</v>
      </c>
      <c r="F74" t="s">
        <v>248</v>
      </c>
    </row>
    <row r="75" spans="1:6" x14ac:dyDescent="0.2">
      <c r="A75" t="s">
        <v>114</v>
      </c>
      <c r="B75" t="s">
        <v>243</v>
      </c>
      <c r="C75" t="s">
        <v>86</v>
      </c>
      <c r="D75" t="s">
        <v>242</v>
      </c>
      <c r="E75" t="s">
        <v>235</v>
      </c>
      <c r="F75" t="s">
        <v>248</v>
      </c>
    </row>
    <row r="76" spans="1:6" x14ac:dyDescent="0.2">
      <c r="A76" t="s">
        <v>70</v>
      </c>
      <c r="B76" t="s">
        <v>243</v>
      </c>
      <c r="C76" t="s">
        <v>86</v>
      </c>
      <c r="D76" t="s">
        <v>234</v>
      </c>
      <c r="E76" t="s">
        <v>235</v>
      </c>
      <c r="F76" t="s">
        <v>249</v>
      </c>
    </row>
    <row r="77" spans="1:6" x14ac:dyDescent="0.2">
      <c r="A77" t="s">
        <v>71</v>
      </c>
      <c r="B77" t="s">
        <v>243</v>
      </c>
      <c r="C77" t="s">
        <v>86</v>
      </c>
      <c r="D77" t="s">
        <v>234</v>
      </c>
      <c r="E77" t="s">
        <v>235</v>
      </c>
      <c r="F77" t="s">
        <v>249</v>
      </c>
    </row>
    <row r="78" spans="1:6" x14ac:dyDescent="0.2">
      <c r="A78" t="s">
        <v>72</v>
      </c>
      <c r="B78" t="s">
        <v>243</v>
      </c>
      <c r="C78" t="s">
        <v>86</v>
      </c>
      <c r="D78" t="s">
        <v>234</v>
      </c>
      <c r="E78" t="s">
        <v>235</v>
      </c>
      <c r="F78" t="s">
        <v>249</v>
      </c>
    </row>
    <row r="79" spans="1:6" x14ac:dyDescent="0.2">
      <c r="A79" t="s">
        <v>73</v>
      </c>
      <c r="B79" t="s">
        <v>243</v>
      </c>
      <c r="C79" t="s">
        <v>86</v>
      </c>
      <c r="D79" t="s">
        <v>234</v>
      </c>
      <c r="E79" t="s">
        <v>236</v>
      </c>
      <c r="F79" t="s">
        <v>250</v>
      </c>
    </row>
    <row r="80" spans="1:6" x14ac:dyDescent="0.2">
      <c r="A80" t="s">
        <v>74</v>
      </c>
      <c r="B80" t="s">
        <v>243</v>
      </c>
      <c r="C80" t="s">
        <v>86</v>
      </c>
      <c r="D80" t="s">
        <v>234</v>
      </c>
      <c r="E80" t="s">
        <v>236</v>
      </c>
      <c r="F80" t="s">
        <v>250</v>
      </c>
    </row>
    <row r="81" spans="1:6" x14ac:dyDescent="0.2">
      <c r="A81" t="s">
        <v>75</v>
      </c>
      <c r="B81" t="s">
        <v>243</v>
      </c>
      <c r="C81" t="s">
        <v>86</v>
      </c>
      <c r="D81" t="s">
        <v>234</v>
      </c>
      <c r="E81" t="s">
        <v>236</v>
      </c>
      <c r="F81" t="s">
        <v>250</v>
      </c>
    </row>
    <row r="82" spans="1:6" x14ac:dyDescent="0.2">
      <c r="A82" t="s">
        <v>67</v>
      </c>
      <c r="B82" t="s">
        <v>243</v>
      </c>
      <c r="C82" t="s">
        <v>86</v>
      </c>
      <c r="D82" t="s">
        <v>241</v>
      </c>
      <c r="E82" t="s">
        <v>235</v>
      </c>
      <c r="F82" t="s">
        <v>249</v>
      </c>
    </row>
    <row r="83" spans="1:6" x14ac:dyDescent="0.2">
      <c r="A83" t="s">
        <v>68</v>
      </c>
      <c r="B83" t="s">
        <v>243</v>
      </c>
      <c r="C83" t="s">
        <v>86</v>
      </c>
      <c r="D83" t="s">
        <v>241</v>
      </c>
      <c r="E83" t="s">
        <v>235</v>
      </c>
      <c r="F83" t="s">
        <v>249</v>
      </c>
    </row>
    <row r="84" spans="1:6" x14ac:dyDescent="0.2">
      <c r="A84" t="s">
        <v>69</v>
      </c>
      <c r="B84" t="s">
        <v>243</v>
      </c>
      <c r="C84" t="s">
        <v>86</v>
      </c>
      <c r="D84" t="s">
        <v>241</v>
      </c>
      <c r="E84" t="s">
        <v>235</v>
      </c>
      <c r="F84" t="s">
        <v>249</v>
      </c>
    </row>
    <row r="85" spans="1:6" x14ac:dyDescent="0.2">
      <c r="A85" t="s">
        <v>64</v>
      </c>
      <c r="B85" t="s">
        <v>243</v>
      </c>
      <c r="C85" t="s">
        <v>86</v>
      </c>
      <c r="D85" t="s">
        <v>242</v>
      </c>
      <c r="E85" t="s">
        <v>235</v>
      </c>
      <c r="F85" t="s">
        <v>249</v>
      </c>
    </row>
    <row r="86" spans="1:6" x14ac:dyDescent="0.2">
      <c r="A86" t="s">
        <v>65</v>
      </c>
      <c r="B86" t="s">
        <v>243</v>
      </c>
      <c r="C86" t="s">
        <v>86</v>
      </c>
      <c r="D86" t="s">
        <v>242</v>
      </c>
      <c r="E86" t="s">
        <v>235</v>
      </c>
      <c r="F86" t="s">
        <v>249</v>
      </c>
    </row>
    <row r="87" spans="1:6" x14ac:dyDescent="0.2">
      <c r="A87" t="s">
        <v>66</v>
      </c>
      <c r="B87" t="s">
        <v>243</v>
      </c>
      <c r="C87" t="s">
        <v>86</v>
      </c>
      <c r="D87" t="s">
        <v>242</v>
      </c>
      <c r="E87" t="s">
        <v>235</v>
      </c>
      <c r="F87" t="s">
        <v>249</v>
      </c>
    </row>
    <row r="91" spans="1:6" x14ac:dyDescent="0.2">
      <c r="A91" s="10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2E37-0E48-6F43-A451-FF2E8A49A91D}">
  <dimension ref="A1:BN19"/>
  <sheetViews>
    <sheetView workbookViewId="0">
      <pane xSplit="1" topLeftCell="B1" activePane="topRight" state="frozen"/>
      <selection pane="topRight"/>
    </sheetView>
  </sheetViews>
  <sheetFormatPr baseColWidth="10" defaultRowHeight="16" x14ac:dyDescent="0.2"/>
  <cols>
    <col min="1" max="1" width="71.1640625" customWidth="1"/>
  </cols>
  <sheetData>
    <row r="1" spans="1:66" ht="22" x14ac:dyDescent="0.3">
      <c r="A1" s="11" t="s">
        <v>258</v>
      </c>
    </row>
    <row r="3" spans="1:66" x14ac:dyDescent="0.2">
      <c r="A3" t="s">
        <v>45</v>
      </c>
      <c r="B3" t="s">
        <v>92</v>
      </c>
      <c r="C3" t="s">
        <v>93</v>
      </c>
      <c r="D3" t="s">
        <v>94</v>
      </c>
      <c r="E3" t="s">
        <v>252</v>
      </c>
      <c r="F3" t="s">
        <v>95</v>
      </c>
      <c r="G3" t="s">
        <v>96</v>
      </c>
      <c r="H3" t="s">
        <v>253</v>
      </c>
      <c r="I3" t="s">
        <v>97</v>
      </c>
      <c r="J3" t="s">
        <v>98</v>
      </c>
      <c r="K3" t="s">
        <v>99</v>
      </c>
      <c r="L3" t="s">
        <v>100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t="s">
        <v>107</v>
      </c>
      <c r="T3" t="s">
        <v>108</v>
      </c>
      <c r="U3" t="s">
        <v>109</v>
      </c>
      <c r="V3" t="s">
        <v>110</v>
      </c>
      <c r="W3" t="s">
        <v>111</v>
      </c>
      <c r="X3" t="s">
        <v>112</v>
      </c>
      <c r="Y3" t="s">
        <v>113</v>
      </c>
      <c r="Z3" t="s">
        <v>114</v>
      </c>
      <c r="AA3" t="s">
        <v>115</v>
      </c>
      <c r="AB3" t="s">
        <v>116</v>
      </c>
      <c r="AC3" t="s">
        <v>117</v>
      </c>
      <c r="AD3" t="s">
        <v>254</v>
      </c>
      <c r="AE3" t="s">
        <v>118</v>
      </c>
      <c r="AF3" t="s">
        <v>119</v>
      </c>
      <c r="AG3" t="s">
        <v>120</v>
      </c>
      <c r="AH3" t="s">
        <v>255</v>
      </c>
      <c r="AI3" t="s">
        <v>121</v>
      </c>
      <c r="AJ3" t="s">
        <v>122</v>
      </c>
      <c r="AK3" t="s">
        <v>123</v>
      </c>
      <c r="AL3" t="s">
        <v>256</v>
      </c>
      <c r="AM3" t="s">
        <v>124</v>
      </c>
      <c r="AN3" t="s">
        <v>125</v>
      </c>
      <c r="AO3" t="s">
        <v>126</v>
      </c>
      <c r="AP3" t="s">
        <v>257</v>
      </c>
      <c r="AQ3" t="s">
        <v>127</v>
      </c>
      <c r="AR3" t="s">
        <v>128</v>
      </c>
      <c r="AS3" t="s">
        <v>129</v>
      </c>
      <c r="AT3" t="s">
        <v>130</v>
      </c>
      <c r="AU3" t="s">
        <v>131</v>
      </c>
      <c r="AV3" t="s">
        <v>132</v>
      </c>
      <c r="AW3" t="s">
        <v>133</v>
      </c>
      <c r="AX3" t="s">
        <v>134</v>
      </c>
      <c r="AY3" t="s">
        <v>135</v>
      </c>
      <c r="AZ3" t="s">
        <v>136</v>
      </c>
      <c r="BA3" t="s">
        <v>137</v>
      </c>
      <c r="BB3" t="s">
        <v>138</v>
      </c>
      <c r="BC3" t="s">
        <v>139</v>
      </c>
      <c r="BD3" t="s">
        <v>140</v>
      </c>
      <c r="BE3" t="s">
        <v>141</v>
      </c>
      <c r="BF3" t="s">
        <v>142</v>
      </c>
      <c r="BG3" t="s">
        <v>143</v>
      </c>
      <c r="BH3" t="s">
        <v>144</v>
      </c>
      <c r="BI3" t="s">
        <v>145</v>
      </c>
      <c r="BJ3" t="s">
        <v>146</v>
      </c>
      <c r="BK3" t="s">
        <v>147</v>
      </c>
      <c r="BL3" t="s">
        <v>148</v>
      </c>
      <c r="BM3" t="s">
        <v>149</v>
      </c>
      <c r="BN3" t="s">
        <v>150</v>
      </c>
    </row>
    <row r="4" spans="1:66" x14ac:dyDescent="0.2">
      <c r="A4" t="s">
        <v>151</v>
      </c>
      <c r="B4">
        <v>4.2813847954716704E-3</v>
      </c>
      <c r="C4">
        <v>1.9872366911384198E-3</v>
      </c>
      <c r="D4">
        <v>2.87661709829241E-3</v>
      </c>
      <c r="E4">
        <f>AVERAGE(B4:D4)</f>
        <v>3.0484128616341667E-3</v>
      </c>
      <c r="F4">
        <v>1.9632831605414501E-3</v>
      </c>
      <c r="G4">
        <v>1.8684912966652902E-2</v>
      </c>
      <c r="H4">
        <f>AVERAGE(F4:G4)</f>
        <v>1.0324098063597176E-2</v>
      </c>
      <c r="I4">
        <v>1.5620181335964999E-2</v>
      </c>
      <c r="J4">
        <v>3.1877424244675899E-2</v>
      </c>
      <c r="K4">
        <v>1.4999795643111101E-2</v>
      </c>
      <c r="L4">
        <v>2.3179710935369502E-3</v>
      </c>
      <c r="M4">
        <v>1.05313726814842E-2</v>
      </c>
      <c r="N4">
        <v>1.4951080066024001E-2</v>
      </c>
      <c r="O4">
        <v>3.5497154778493102E-3</v>
      </c>
      <c r="P4">
        <v>7.9176924713534602E-3</v>
      </c>
      <c r="Q4">
        <v>3.3016556477591299E-3</v>
      </c>
      <c r="R4">
        <v>9.8157837803187504E-3</v>
      </c>
      <c r="S4">
        <v>2.0576283436460601E-2</v>
      </c>
      <c r="T4">
        <v>1.17993456924755E-2</v>
      </c>
      <c r="U4">
        <v>8.4562717348700307E-3</v>
      </c>
      <c r="V4">
        <v>1.5992898731701399E-2</v>
      </c>
      <c r="W4">
        <v>4.6188497770472802E-3</v>
      </c>
      <c r="X4">
        <v>1.1044386843333901E-2</v>
      </c>
      <c r="Y4">
        <v>6.47403246536869E-3</v>
      </c>
      <c r="Z4">
        <v>5.0597561708005502E-3</v>
      </c>
      <c r="AA4">
        <v>0.91080131474555104</v>
      </c>
      <c r="AB4">
        <v>0.91609531572134095</v>
      </c>
      <c r="AC4">
        <v>0.91320458118122605</v>
      </c>
      <c r="AD4">
        <f>AVERAGE(AA4:AC4)</f>
        <v>0.91336707054937272</v>
      </c>
      <c r="AE4">
        <v>0.75239482381939404</v>
      </c>
      <c r="AF4">
        <v>0.77787897457876798</v>
      </c>
      <c r="AG4">
        <v>0.74555514111649901</v>
      </c>
      <c r="AH4">
        <f>AVERAGE(AE4:AG4)</f>
        <v>0.75860964650488694</v>
      </c>
      <c r="AI4">
        <v>0.46010618030330003</v>
      </c>
      <c r="AJ4">
        <v>0.46690542809177399</v>
      </c>
      <c r="AK4">
        <v>0.48245640273997198</v>
      </c>
      <c r="AL4">
        <f>AVERAGE(AI4:AK4)</f>
        <v>0.46982267037834863</v>
      </c>
      <c r="AM4">
        <v>0.44357426327788602</v>
      </c>
      <c r="AN4">
        <v>0.40775490048736501</v>
      </c>
      <c r="AO4">
        <v>0.38584326939692398</v>
      </c>
      <c r="AP4">
        <f>AVERAGE(AM4:AO4)</f>
        <v>0.41239081105405834</v>
      </c>
      <c r="AQ4">
        <v>0.71201017050553395</v>
      </c>
      <c r="AR4">
        <v>0.70535604853536005</v>
      </c>
      <c r="AS4">
        <v>0.71151716500553697</v>
      </c>
      <c r="AT4">
        <v>0.600423629089197</v>
      </c>
      <c r="AU4">
        <v>0.60305361750931896</v>
      </c>
      <c r="AV4">
        <v>0.57019147835087103</v>
      </c>
      <c r="AW4">
        <v>0.443288652463593</v>
      </c>
      <c r="AX4">
        <v>0.46993496134495</v>
      </c>
      <c r="AY4">
        <v>0.46618914653393201</v>
      </c>
      <c r="AZ4">
        <v>0.496047307812014</v>
      </c>
      <c r="BA4">
        <v>0.56149949774519603</v>
      </c>
      <c r="BB4">
        <v>0.54354925464883996</v>
      </c>
      <c r="BC4">
        <v>0.46503975072075499</v>
      </c>
      <c r="BD4">
        <v>0.48165353589252602</v>
      </c>
      <c r="BE4">
        <v>0.46640425767823501</v>
      </c>
      <c r="BF4">
        <v>0.58715836656285503</v>
      </c>
      <c r="BG4">
        <v>0.51519379252350705</v>
      </c>
      <c r="BH4">
        <v>0.54379381669747995</v>
      </c>
      <c r="BI4">
        <v>0.68496572797093103</v>
      </c>
      <c r="BJ4">
        <v>0.63706533904519302</v>
      </c>
      <c r="BK4">
        <v>0.65334793789884704</v>
      </c>
      <c r="BL4">
        <v>0.17977745524915301</v>
      </c>
      <c r="BM4">
        <v>0.13076576914422899</v>
      </c>
      <c r="BN4">
        <v>0.14529983792544601</v>
      </c>
    </row>
    <row r="5" spans="1:66" x14ac:dyDescent="0.2">
      <c r="A5" t="s">
        <v>152</v>
      </c>
      <c r="B5">
        <v>5.2394849510126199E-2</v>
      </c>
      <c r="C5">
        <v>4.5871422036580199E-2</v>
      </c>
      <c r="D5">
        <v>4.6713065435048398E-2</v>
      </c>
      <c r="E5">
        <f t="shared" ref="E5:E19" si="0">AVERAGE(B5:D5)</f>
        <v>4.8326445660584937E-2</v>
      </c>
      <c r="F5">
        <v>2.1699445458616101E-2</v>
      </c>
      <c r="G5">
        <v>1.30831986164893E-2</v>
      </c>
      <c r="H5">
        <f t="shared" ref="H5:H19" si="1">AVERAGE(F5:G5)</f>
        <v>1.7391322037552701E-2</v>
      </c>
      <c r="I5">
        <v>5.0792573860482297E-2</v>
      </c>
      <c r="J5">
        <v>5.1538884513070503E-2</v>
      </c>
      <c r="K5">
        <v>5.5108241032138502E-2</v>
      </c>
      <c r="L5">
        <v>6.9728509529436697E-2</v>
      </c>
      <c r="M5">
        <v>8.6285195277020901E-2</v>
      </c>
      <c r="N5">
        <v>8.9873932492883293E-2</v>
      </c>
      <c r="O5">
        <v>5.9994862253913601E-2</v>
      </c>
      <c r="P5">
        <v>5.09027081243731E-2</v>
      </c>
      <c r="Q5">
        <v>6.1904035089128603E-2</v>
      </c>
      <c r="R5">
        <v>8.5890111298968702E-2</v>
      </c>
      <c r="S5">
        <v>8.2555884153311707E-2</v>
      </c>
      <c r="T5">
        <v>6.9996364958196999E-2</v>
      </c>
      <c r="U5">
        <v>6.8500804763532999E-2</v>
      </c>
      <c r="V5">
        <v>6.1398889674575401E-2</v>
      </c>
      <c r="W5">
        <v>5.9580879331598398E-2</v>
      </c>
      <c r="X5">
        <v>0.17305556002769101</v>
      </c>
      <c r="Y5">
        <v>0.154734136240301</v>
      </c>
      <c r="Z5">
        <v>0.15320401177106499</v>
      </c>
      <c r="AA5">
        <v>7.9734784087045193E-2</v>
      </c>
      <c r="AB5">
        <v>7.5466270316920006E-2</v>
      </c>
      <c r="AC5">
        <v>7.5005614192679093E-2</v>
      </c>
      <c r="AD5">
        <f t="shared" ref="AD5:AD19" si="2">AVERAGE(AA5:AC5)</f>
        <v>7.6735556198881436E-2</v>
      </c>
      <c r="AE5">
        <v>0.242759509271189</v>
      </c>
      <c r="AF5">
        <v>0.216442099059763</v>
      </c>
      <c r="AG5">
        <v>0.249316175556384</v>
      </c>
      <c r="AH5">
        <f t="shared" ref="AH5:AH19" si="3">AVERAGE(AE5:AG5)</f>
        <v>0.236172594629112</v>
      </c>
      <c r="AI5">
        <v>0.25780476033225802</v>
      </c>
      <c r="AJ5">
        <v>0.26025741466144398</v>
      </c>
      <c r="AK5">
        <v>0.25712661900631201</v>
      </c>
      <c r="AL5">
        <f t="shared" ref="AL5:AL19" si="4">AVERAGE(AI5:AK5)</f>
        <v>0.25839626466667132</v>
      </c>
      <c r="AM5">
        <v>0.422190323397788</v>
      </c>
      <c r="AN5">
        <v>0.422633488631728</v>
      </c>
      <c r="AO5">
        <v>0.423881112839122</v>
      </c>
      <c r="AP5">
        <f t="shared" ref="AP5:AP19" si="5">AVERAGE(AM5:AO5)</f>
        <v>0.4229016416228793</v>
      </c>
      <c r="AQ5">
        <v>0.188864792102902</v>
      </c>
      <c r="AR5">
        <v>0.185868366221351</v>
      </c>
      <c r="AS5">
        <v>0.173495754891104</v>
      </c>
      <c r="AT5">
        <v>0.35841374441044999</v>
      </c>
      <c r="AU5">
        <v>0.34036605180158702</v>
      </c>
      <c r="AV5">
        <v>0.37260652061411098</v>
      </c>
      <c r="AW5">
        <v>0.30832433571221701</v>
      </c>
      <c r="AX5">
        <v>0.306172536507547</v>
      </c>
      <c r="AY5">
        <v>0.31273521913317998</v>
      </c>
      <c r="AZ5">
        <v>0.262589480236539</v>
      </c>
      <c r="BA5">
        <v>0.241082305670136</v>
      </c>
      <c r="BB5">
        <v>0.27524204702627902</v>
      </c>
      <c r="BC5">
        <v>0.320189871574594</v>
      </c>
      <c r="BD5">
        <v>0.31410276530964598</v>
      </c>
      <c r="BE5">
        <v>0.30696307794655697</v>
      </c>
      <c r="BF5">
        <v>0.26463311697761699</v>
      </c>
      <c r="BG5">
        <v>0.30299671278954199</v>
      </c>
      <c r="BH5">
        <v>0.27394702641357499</v>
      </c>
      <c r="BI5">
        <v>0.19627962672392399</v>
      </c>
      <c r="BJ5">
        <v>0.26533132646366397</v>
      </c>
      <c r="BK5">
        <v>0.24335651014382301</v>
      </c>
      <c r="BL5">
        <v>0.59235607160135495</v>
      </c>
      <c r="BM5">
        <v>0.51520663016575396</v>
      </c>
      <c r="BN5">
        <v>0.54848055105348503</v>
      </c>
    </row>
    <row r="6" spans="1:66" x14ac:dyDescent="0.2">
      <c r="A6" t="s">
        <v>153</v>
      </c>
      <c r="B6">
        <v>6.6433622500521095E-2</v>
      </c>
      <c r="C6">
        <v>7.8679574956318304E-2</v>
      </c>
      <c r="D6">
        <v>8.03614948820187E-2</v>
      </c>
      <c r="E6">
        <f t="shared" si="0"/>
        <v>7.5158230779619362E-2</v>
      </c>
      <c r="F6">
        <v>6.4650570040987801E-2</v>
      </c>
      <c r="G6">
        <v>0.31313207263430998</v>
      </c>
      <c r="H6">
        <f t="shared" si="1"/>
        <v>0.18889132133764888</v>
      </c>
      <c r="I6">
        <v>0.100521186702029</v>
      </c>
      <c r="J6">
        <v>9.8411330232281699E-2</v>
      </c>
      <c r="K6">
        <v>9.9181210065257999E-2</v>
      </c>
      <c r="L6">
        <v>3.3504529891221997E-2</v>
      </c>
      <c r="M6">
        <v>3.4266369416233199E-2</v>
      </c>
      <c r="N6">
        <v>3.2198646030189203E-2</v>
      </c>
      <c r="O6">
        <v>2.4855792808712401E-2</v>
      </c>
      <c r="P6">
        <v>2.83805963344579E-2</v>
      </c>
      <c r="Q6">
        <v>3.95716684205875E-2</v>
      </c>
      <c r="R6">
        <v>7.1859550156651894E-2</v>
      </c>
      <c r="S6">
        <v>6.3764353617074596E-2</v>
      </c>
      <c r="T6">
        <v>5.3827699018538698E-2</v>
      </c>
      <c r="U6">
        <v>2.74870528975657E-2</v>
      </c>
      <c r="V6">
        <v>3.5536431612679997E-2</v>
      </c>
      <c r="W6">
        <v>3.8449831834299703E-2</v>
      </c>
      <c r="X6">
        <v>5.8715566789560997E-2</v>
      </c>
      <c r="Y6">
        <v>3.6622713063899297E-2</v>
      </c>
      <c r="Z6">
        <v>3.40445018317218E-2</v>
      </c>
      <c r="AA6">
        <v>0</v>
      </c>
      <c r="AB6">
        <v>0</v>
      </c>
      <c r="AC6">
        <v>0</v>
      </c>
      <c r="AD6">
        <f t="shared" si="2"/>
        <v>0</v>
      </c>
      <c r="AE6">
        <v>2.49285754299479E-3</v>
      </c>
      <c r="AF6">
        <v>1.6608180868447099E-3</v>
      </c>
      <c r="AG6">
        <v>1.8028098968046701E-3</v>
      </c>
      <c r="AH6">
        <f t="shared" si="3"/>
        <v>1.9854951755480569E-3</v>
      </c>
      <c r="AI6">
        <v>6.0964767444814203E-4</v>
      </c>
      <c r="AJ6">
        <v>6.0436485730274196E-4</v>
      </c>
      <c r="AK6">
        <v>1.2264066285782699E-3</v>
      </c>
      <c r="AL6">
        <f t="shared" si="4"/>
        <v>8.134730534430512E-4</v>
      </c>
      <c r="AM6">
        <v>3.7786033944102E-3</v>
      </c>
      <c r="AN6">
        <v>1.13790068059343E-3</v>
      </c>
      <c r="AO6">
        <v>1.64161050630724E-3</v>
      </c>
      <c r="AP6">
        <f t="shared" si="5"/>
        <v>2.1860381937702901E-3</v>
      </c>
      <c r="AQ6">
        <v>4.1130720909362899E-4</v>
      </c>
      <c r="AR6">
        <v>2.4512807942149803E-4</v>
      </c>
      <c r="AS6">
        <v>3.6913990402362499E-4</v>
      </c>
      <c r="AT6">
        <v>2.0946104965874298E-3</v>
      </c>
      <c r="AU6">
        <v>1.6008792889228699E-3</v>
      </c>
      <c r="AV6">
        <v>1.1385199240986699E-3</v>
      </c>
      <c r="AW6">
        <v>0.129486740578832</v>
      </c>
      <c r="AX6">
        <v>8.2985642410111707E-2</v>
      </c>
      <c r="AY6">
        <v>0.114847638703411</v>
      </c>
      <c r="AZ6">
        <v>0.12972300031123599</v>
      </c>
      <c r="BA6">
        <v>7.1747632990660198E-2</v>
      </c>
      <c r="BB6">
        <v>9.2899953895804493E-2</v>
      </c>
      <c r="BC6">
        <v>0.15035382509682901</v>
      </c>
      <c r="BD6">
        <v>0.146081170156</v>
      </c>
      <c r="BE6">
        <v>0.17454817607273501</v>
      </c>
      <c r="BF6">
        <v>5.71935850045115E-2</v>
      </c>
      <c r="BG6">
        <v>9.0933414876538499E-2</v>
      </c>
      <c r="BH6">
        <v>8.8667606304113106E-2</v>
      </c>
      <c r="BI6">
        <v>6.9989264183665002E-3</v>
      </c>
      <c r="BJ6">
        <v>8.6835706842653699E-3</v>
      </c>
      <c r="BK6">
        <v>4.8576054862367801E-3</v>
      </c>
      <c r="BL6">
        <v>0.19552975326560201</v>
      </c>
      <c r="BM6">
        <v>0.29653866346658703</v>
      </c>
      <c r="BN6">
        <v>0.27542544570502397</v>
      </c>
    </row>
    <row r="7" spans="1:66" x14ac:dyDescent="0.2">
      <c r="A7" t="s">
        <v>154</v>
      </c>
      <c r="B7">
        <v>6.4429228869682303E-2</v>
      </c>
      <c r="C7">
        <v>5.0063366603924998E-2</v>
      </c>
      <c r="D7">
        <v>4.58181178933574E-2</v>
      </c>
      <c r="E7">
        <f t="shared" si="0"/>
        <v>5.3436904455654903E-2</v>
      </c>
      <c r="F7">
        <v>1.99772672476148E-2</v>
      </c>
      <c r="G7">
        <v>1.42486559645099E-2</v>
      </c>
      <c r="H7">
        <f t="shared" si="1"/>
        <v>1.7112961606062349E-2</v>
      </c>
      <c r="I7">
        <v>7.8501819527539596E-2</v>
      </c>
      <c r="J7">
        <v>7.3325506397776796E-2</v>
      </c>
      <c r="K7">
        <v>7.4917235460007406E-2</v>
      </c>
      <c r="L7">
        <v>0.107808381056268</v>
      </c>
      <c r="M7">
        <v>0.10372238611029801</v>
      </c>
      <c r="N7">
        <v>0.126561889497564</v>
      </c>
      <c r="O7">
        <v>6.9678735180327106E-2</v>
      </c>
      <c r="P7">
        <v>6.9200024315370395E-2</v>
      </c>
      <c r="Q7">
        <v>7.9135303615754798E-2</v>
      </c>
      <c r="R7">
        <v>9.5273199304481596E-2</v>
      </c>
      <c r="S7">
        <v>9.5344154934251801E-2</v>
      </c>
      <c r="T7">
        <v>8.25009087604507E-2</v>
      </c>
      <c r="U7">
        <v>7.6698551425640693E-2</v>
      </c>
      <c r="V7">
        <v>7.5330615192501504E-2</v>
      </c>
      <c r="W7">
        <v>7.5507160358550596E-2</v>
      </c>
      <c r="X7">
        <v>0.303648189589941</v>
      </c>
      <c r="Y7">
        <v>0.25828692023293798</v>
      </c>
      <c r="Z7">
        <v>0.208020539306949</v>
      </c>
      <c r="AA7">
        <v>7.1970984925762201E-3</v>
      </c>
      <c r="AB7">
        <v>6.6644292084192397E-3</v>
      </c>
      <c r="AC7">
        <v>7.2984504828205697E-3</v>
      </c>
      <c r="AD7">
        <f t="shared" si="2"/>
        <v>7.0533260612720096E-3</v>
      </c>
      <c r="AE7">
        <v>1.09237577726738E-3</v>
      </c>
      <c r="AF7">
        <v>2.0358415258096502E-3</v>
      </c>
      <c r="AG7">
        <v>2.2068879771229601E-3</v>
      </c>
      <c r="AH7">
        <f t="shared" si="3"/>
        <v>1.7783684267333301E-3</v>
      </c>
      <c r="AI7">
        <v>8.3267711535042005E-2</v>
      </c>
      <c r="AJ7">
        <v>8.2977056519306105E-2</v>
      </c>
      <c r="AK7">
        <v>7.4122820136998599E-2</v>
      </c>
      <c r="AL7">
        <f t="shared" si="4"/>
        <v>8.0122529397115574E-2</v>
      </c>
      <c r="AM7">
        <v>5.94866165667483E-2</v>
      </c>
      <c r="AN7">
        <v>8.2165017068510204E-2</v>
      </c>
      <c r="AO7">
        <v>7.4585277345774997E-2</v>
      </c>
      <c r="AP7">
        <f t="shared" si="5"/>
        <v>7.2078970327011174E-2</v>
      </c>
      <c r="AQ7">
        <v>3.06236912952438E-2</v>
      </c>
      <c r="AR7">
        <v>3.3582546880745197E-2</v>
      </c>
      <c r="AS7">
        <v>3.5345145810262102E-2</v>
      </c>
      <c r="AT7">
        <v>1.7533537302894801E-2</v>
      </c>
      <c r="AU7">
        <v>2.3296377711937301E-2</v>
      </c>
      <c r="AV7">
        <v>2.3287907538381902E-2</v>
      </c>
      <c r="AW7">
        <v>1.41942959471203E-2</v>
      </c>
      <c r="AX7">
        <v>1.45416615535649E-2</v>
      </c>
      <c r="AY7">
        <v>1.14422726720894E-2</v>
      </c>
      <c r="AZ7">
        <v>9.3370681605975704E-3</v>
      </c>
      <c r="BA7">
        <v>1.00237235247601E-2</v>
      </c>
      <c r="BB7">
        <v>6.3969571230982E-3</v>
      </c>
      <c r="BC7">
        <v>8.7073007367715997E-3</v>
      </c>
      <c r="BD7">
        <v>9.1339966728397008E-3</v>
      </c>
      <c r="BE7">
        <v>9.5077059540969108E-3</v>
      </c>
      <c r="BF7">
        <v>7.8877666851005605E-3</v>
      </c>
      <c r="BG7">
        <v>8.6767066738016995E-3</v>
      </c>
      <c r="BH7">
        <v>7.3584594827112802E-3</v>
      </c>
      <c r="BI7">
        <v>4.1498059294739504E-3</v>
      </c>
      <c r="BJ7">
        <v>3.3769441549920901E-3</v>
      </c>
      <c r="BK7">
        <v>4.0718163634631899E-3</v>
      </c>
      <c r="BL7">
        <v>8.5147556845670096E-3</v>
      </c>
      <c r="BM7">
        <v>1.27315682892072E-2</v>
      </c>
      <c r="BN7">
        <v>6.1790923824959496E-3</v>
      </c>
    </row>
    <row r="8" spans="1:66" x14ac:dyDescent="0.2">
      <c r="A8" t="s">
        <v>155</v>
      </c>
      <c r="B8">
        <v>9.9001010214389895E-2</v>
      </c>
      <c r="C8">
        <v>0.10931301602537701</v>
      </c>
      <c r="D8">
        <v>0.107585479476136</v>
      </c>
      <c r="E8">
        <f t="shared" si="0"/>
        <v>0.1052998352386343</v>
      </c>
      <c r="F8">
        <v>0.13612096579754099</v>
      </c>
      <c r="G8">
        <v>0.117372833565172</v>
      </c>
      <c r="H8">
        <f t="shared" si="1"/>
        <v>0.1267468996813565</v>
      </c>
      <c r="I8">
        <v>0.110374390920866</v>
      </c>
      <c r="J8">
        <v>9.1337365691272002E-2</v>
      </c>
      <c r="K8">
        <v>9.6606313265486798E-2</v>
      </c>
      <c r="L8">
        <v>8.7673847832015303E-2</v>
      </c>
      <c r="M8">
        <v>7.4282583076241707E-2</v>
      </c>
      <c r="N8">
        <v>7.6629269031728203E-2</v>
      </c>
      <c r="O8">
        <v>5.3090042892395398E-2</v>
      </c>
      <c r="P8">
        <v>4.8463572535789201E-2</v>
      </c>
      <c r="Q8">
        <v>6.3615112103660706E-2</v>
      </c>
      <c r="R8">
        <v>7.6571126371204903E-2</v>
      </c>
      <c r="S8">
        <v>8.4842137868473999E-2</v>
      </c>
      <c r="T8">
        <v>8.6550345328971295E-2</v>
      </c>
      <c r="U8">
        <v>5.7109022525039403E-2</v>
      </c>
      <c r="V8">
        <v>6.7131057517264198E-2</v>
      </c>
      <c r="W8">
        <v>7.9418344519015693E-2</v>
      </c>
      <c r="X8">
        <v>3.4654581166583501E-2</v>
      </c>
      <c r="Y8">
        <v>4.3596578918138403E-2</v>
      </c>
      <c r="Z8">
        <v>5.06050687646388E-2</v>
      </c>
      <c r="AA8">
        <v>0</v>
      </c>
      <c r="AB8">
        <v>0</v>
      </c>
      <c r="AC8">
        <v>0</v>
      </c>
      <c r="AD8">
        <f t="shared" si="2"/>
        <v>0</v>
      </c>
      <c r="AE8">
        <v>0</v>
      </c>
      <c r="AF8">
        <v>0</v>
      </c>
      <c r="AG8">
        <v>0</v>
      </c>
      <c r="AH8">
        <f t="shared" si="3"/>
        <v>0</v>
      </c>
      <c r="AI8">
        <v>1.5241191861203499E-4</v>
      </c>
      <c r="AJ8">
        <v>0</v>
      </c>
      <c r="AK8">
        <v>6.8798420627561203E-4</v>
      </c>
      <c r="AL8">
        <f t="shared" si="4"/>
        <v>2.8013204162921569E-4</v>
      </c>
      <c r="AM8">
        <v>2.7442371020856198E-4</v>
      </c>
      <c r="AN8">
        <v>0</v>
      </c>
      <c r="AO8">
        <v>4.1040262657681E-4</v>
      </c>
      <c r="AP8">
        <f t="shared" si="5"/>
        <v>2.2827544559512398E-4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 t="s">
        <v>156</v>
      </c>
      <c r="B9">
        <v>5.8985295768324203E-2</v>
      </c>
      <c r="C9">
        <v>5.2635525792832399E-2</v>
      </c>
      <c r="D9">
        <v>6.3565247269211395E-2</v>
      </c>
      <c r="E9">
        <f t="shared" si="0"/>
        <v>5.839535627678933E-2</v>
      </c>
      <c r="F9">
        <v>0.159163710260738</v>
      </c>
      <c r="G9">
        <v>0.10116921688785301</v>
      </c>
      <c r="H9">
        <f t="shared" si="1"/>
        <v>0.13016646357429551</v>
      </c>
      <c r="I9">
        <v>5.4508727564300301E-2</v>
      </c>
      <c r="J9">
        <v>4.5103954583958702E-2</v>
      </c>
      <c r="K9">
        <v>5.4195446928516001E-2</v>
      </c>
      <c r="L9">
        <v>5.8676483956004E-2</v>
      </c>
      <c r="M9">
        <v>5.3032179611322498E-2</v>
      </c>
      <c r="N9">
        <v>5.9620920348619301E-2</v>
      </c>
      <c r="O9">
        <v>4.07438833575949E-2</v>
      </c>
      <c r="P9">
        <v>2.8015865779155599E-2</v>
      </c>
      <c r="Q9">
        <v>3.9812665183197697E-2</v>
      </c>
      <c r="R9">
        <v>5.1178294697874202E-2</v>
      </c>
      <c r="S9">
        <v>5.39113376059236E-2</v>
      </c>
      <c r="T9">
        <v>5.0381679389312997E-2</v>
      </c>
      <c r="U9">
        <v>4.7968910275120701E-2</v>
      </c>
      <c r="V9">
        <v>4.5511306362555903E-2</v>
      </c>
      <c r="W9">
        <v>5.0434491469966099E-2</v>
      </c>
      <c r="X9">
        <v>2.3972437331959501E-2</v>
      </c>
      <c r="Y9">
        <v>2.7720918424017402E-2</v>
      </c>
      <c r="Z9">
        <v>3.3046063299501501E-2</v>
      </c>
      <c r="AA9">
        <v>0</v>
      </c>
      <c r="AB9">
        <v>0</v>
      </c>
      <c r="AC9">
        <v>0</v>
      </c>
      <c r="AD9">
        <f t="shared" si="2"/>
        <v>0</v>
      </c>
      <c r="AE9">
        <v>0</v>
      </c>
      <c r="AF9">
        <v>0</v>
      </c>
      <c r="AG9">
        <v>0</v>
      </c>
      <c r="AH9">
        <f t="shared" si="3"/>
        <v>0</v>
      </c>
      <c r="AI9">
        <v>1.7527370640384101E-3</v>
      </c>
      <c r="AJ9">
        <v>1.3430330162283201E-3</v>
      </c>
      <c r="AK9">
        <v>1.8545661212646899E-3</v>
      </c>
      <c r="AL9">
        <f t="shared" si="4"/>
        <v>1.65011206717714E-3</v>
      </c>
      <c r="AM9">
        <v>7.5994258211601804E-4</v>
      </c>
      <c r="AN9">
        <v>4.0792665908066198E-4</v>
      </c>
      <c r="AO9">
        <v>2.5920165889061701E-4</v>
      </c>
      <c r="AP9">
        <f t="shared" si="5"/>
        <v>4.7569030002909903E-4</v>
      </c>
      <c r="AQ9">
        <v>7.1043972479808602E-4</v>
      </c>
      <c r="AR9">
        <v>8.5794827797524198E-4</v>
      </c>
      <c r="AS9">
        <v>8.3056478405315595E-4</v>
      </c>
      <c r="AT9">
        <v>1.17674746999294E-4</v>
      </c>
      <c r="AU9" s="7">
        <v>7.1681162190576298E-5</v>
      </c>
      <c r="AV9">
        <v>1.7250301880282899E-4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 t="s">
        <v>157</v>
      </c>
      <c r="B10">
        <v>4.8642624633195998E-2</v>
      </c>
      <c r="C10">
        <v>4.8053632893641597E-2</v>
      </c>
      <c r="D10">
        <v>5.3441153203832303E-2</v>
      </c>
      <c r="E10">
        <f t="shared" si="0"/>
        <v>5.0045803576889959E-2</v>
      </c>
      <c r="F10">
        <v>1.0298625701787601E-2</v>
      </c>
      <c r="G10">
        <v>8.9853001992556102E-3</v>
      </c>
      <c r="H10">
        <f t="shared" si="1"/>
        <v>9.6419629505216063E-3</v>
      </c>
      <c r="I10">
        <v>6.41152161845433E-2</v>
      </c>
      <c r="J10">
        <v>5.6056710606488397E-2</v>
      </c>
      <c r="K10">
        <v>5.4617784498848798E-2</v>
      </c>
      <c r="L10">
        <v>6.0100596915431903E-2</v>
      </c>
      <c r="M10">
        <v>5.9375023457262699E-2</v>
      </c>
      <c r="N10">
        <v>5.5921026401613901E-2</v>
      </c>
      <c r="O10">
        <v>4.3912160110850799E-2</v>
      </c>
      <c r="P10">
        <v>3.2650983252788701E-2</v>
      </c>
      <c r="Q10">
        <v>3.96038013222689E-2</v>
      </c>
      <c r="R10">
        <v>5.1602977587961403E-2</v>
      </c>
      <c r="S10">
        <v>5.1588208830839401E-2</v>
      </c>
      <c r="T10">
        <v>5.5696110505270797E-2</v>
      </c>
      <c r="U10">
        <v>5.5632927754751399E-2</v>
      </c>
      <c r="V10">
        <v>5.1830231543472702E-2</v>
      </c>
      <c r="W10">
        <v>5.9603707254713999E-2</v>
      </c>
      <c r="X10">
        <v>4.7325036626793097E-2</v>
      </c>
      <c r="Y10">
        <v>4.1184684470255903E-2</v>
      </c>
      <c r="Z10">
        <v>5.2346705903549298E-2</v>
      </c>
      <c r="AA10">
        <v>0</v>
      </c>
      <c r="AB10">
        <v>0</v>
      </c>
      <c r="AC10">
        <v>0</v>
      </c>
      <c r="AD10">
        <f t="shared" si="2"/>
        <v>0</v>
      </c>
      <c r="AE10">
        <v>0</v>
      </c>
      <c r="AF10">
        <v>0</v>
      </c>
      <c r="AG10">
        <v>0</v>
      </c>
      <c r="AH10">
        <f t="shared" si="3"/>
        <v>0</v>
      </c>
      <c r="AI10">
        <v>3.55627810094749E-4</v>
      </c>
      <c r="AJ10">
        <v>1.0296586457750399E-3</v>
      </c>
      <c r="AK10">
        <v>9.8710777422153094E-4</v>
      </c>
      <c r="AL10">
        <f t="shared" si="4"/>
        <v>7.9079807669710667E-4</v>
      </c>
      <c r="AM10">
        <v>0</v>
      </c>
      <c r="AN10">
        <v>1.9322841745926099E-4</v>
      </c>
      <c r="AO10">
        <v>1.5120096768619299E-4</v>
      </c>
      <c r="AP10">
        <f t="shared" si="5"/>
        <v>1.1480979504848467E-4</v>
      </c>
      <c r="AQ10">
        <v>4.1130720909362899E-4</v>
      </c>
      <c r="AR10">
        <v>0</v>
      </c>
      <c r="AS10">
        <v>2.3071244001476599E-4</v>
      </c>
      <c r="AT10">
        <v>2.3534949399858801E-4</v>
      </c>
      <c r="AU10">
        <v>1.9114976584153699E-4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1.5000375009375201E-4</v>
      </c>
      <c r="BN10">
        <v>0</v>
      </c>
    </row>
    <row r="11" spans="1:66" x14ac:dyDescent="0.2">
      <c r="A11" t="s">
        <v>158</v>
      </c>
      <c r="B11">
        <v>5.5601879319468299E-2</v>
      </c>
      <c r="C11">
        <v>7.7157276660842405E-2</v>
      </c>
      <c r="D11">
        <v>6.3005905055654607E-2</v>
      </c>
      <c r="E11">
        <f t="shared" si="0"/>
        <v>6.5255020345321768E-2</v>
      </c>
      <c r="F11">
        <v>1.9219508834774201E-2</v>
      </c>
      <c r="G11">
        <v>3.8309710891386899E-2</v>
      </c>
      <c r="H11">
        <f t="shared" si="1"/>
        <v>2.8764609863080548E-2</v>
      </c>
      <c r="I11">
        <v>3.7886264109048301E-2</v>
      </c>
      <c r="J11">
        <v>3.3096048388295302E-2</v>
      </c>
      <c r="K11">
        <v>3.4222966989550602E-2</v>
      </c>
      <c r="L11">
        <v>4.0094839863042797E-2</v>
      </c>
      <c r="M11">
        <v>3.0197941765937798E-2</v>
      </c>
      <c r="N11">
        <v>2.3722380371424701E-2</v>
      </c>
      <c r="O11">
        <v>3.4251640575738901E-2</v>
      </c>
      <c r="P11">
        <v>3.0629768092155299E-2</v>
      </c>
      <c r="Q11">
        <v>3.8101588168665601E-2</v>
      </c>
      <c r="R11">
        <v>5.1947531630862402E-2</v>
      </c>
      <c r="S11">
        <v>3.8925313253633999E-2</v>
      </c>
      <c r="T11">
        <v>4.61141403126136E-2</v>
      </c>
      <c r="U11">
        <v>3.72109314408186E-2</v>
      </c>
      <c r="V11">
        <v>4.4540899995486501E-2</v>
      </c>
      <c r="W11">
        <v>4.6918991310170598E-2</v>
      </c>
      <c r="X11">
        <v>1.4119427495049301E-2</v>
      </c>
      <c r="Y11">
        <v>2.23179575062281E-2</v>
      </c>
      <c r="Z11">
        <v>2.3639721338057799E-2</v>
      </c>
      <c r="AA11">
        <v>0</v>
      </c>
      <c r="AB11">
        <v>0</v>
      </c>
      <c r="AC11">
        <v>0</v>
      </c>
      <c r="AD11">
        <f t="shared" si="2"/>
        <v>0</v>
      </c>
      <c r="AE11">
        <v>0</v>
      </c>
      <c r="AF11">
        <v>0</v>
      </c>
      <c r="AG11">
        <v>0</v>
      </c>
      <c r="AH11">
        <f t="shared" si="3"/>
        <v>0</v>
      </c>
      <c r="AI11" s="7">
        <v>5.0803972870678502E-5</v>
      </c>
      <c r="AJ11" s="7">
        <v>4.4767767207610498E-5</v>
      </c>
      <c r="AK11">
        <v>0</v>
      </c>
      <c r="AL11">
        <f t="shared" si="4"/>
        <v>3.1857246692763002E-5</v>
      </c>
      <c r="AM11">
        <v>0</v>
      </c>
      <c r="AN11">
        <v>0</v>
      </c>
      <c r="AO11">
        <v>0</v>
      </c>
      <c r="AP11">
        <f t="shared" si="5"/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 t="s">
        <v>159</v>
      </c>
      <c r="B12">
        <v>4.4898417330789102E-4</v>
      </c>
      <c r="C12">
        <v>3.0745926164783198E-4</v>
      </c>
      <c r="D12">
        <v>4.3948316779467302E-4</v>
      </c>
      <c r="E12">
        <f t="shared" si="0"/>
        <v>3.9864220091679866E-4</v>
      </c>
      <c r="F12">
        <v>0</v>
      </c>
      <c r="G12">
        <v>0</v>
      </c>
      <c r="H12">
        <f t="shared" si="1"/>
        <v>0</v>
      </c>
      <c r="I12">
        <v>2.2512798371677098E-3</v>
      </c>
      <c r="J12">
        <v>8.0250858238345001E-4</v>
      </c>
      <c r="K12">
        <v>1.79834062206237E-3</v>
      </c>
      <c r="L12">
        <v>5.9085537678392897E-4</v>
      </c>
      <c r="M12">
        <v>7.0559446333536002E-4</v>
      </c>
      <c r="N12">
        <v>5.3425192769258997E-4</v>
      </c>
      <c r="O12">
        <v>4.7485228980001699E-4</v>
      </c>
      <c r="P12">
        <v>4.63511747363302E-4</v>
      </c>
      <c r="Q12">
        <v>4.3379417269827998E-4</v>
      </c>
      <c r="R12">
        <v>4.4070865952451502E-4</v>
      </c>
      <c r="S12">
        <v>3.6137558723532898E-4</v>
      </c>
      <c r="T12">
        <v>4.3620501635768799E-4</v>
      </c>
      <c r="U12">
        <v>5.7542677485801995E-4</v>
      </c>
      <c r="V12">
        <v>5.8675733822799296E-4</v>
      </c>
      <c r="W12">
        <v>6.0874461641479902E-4</v>
      </c>
      <c r="X12">
        <v>1.6099689275997001E-4</v>
      </c>
      <c r="Y12">
        <v>3.8875930245473701E-4</v>
      </c>
      <c r="Z12">
        <v>3.4532460512882101E-4</v>
      </c>
      <c r="AA12">
        <v>2.2668026748271601E-4</v>
      </c>
      <c r="AB12">
        <v>1.43836601620559E-4</v>
      </c>
      <c r="AC12">
        <v>5.0527734111834705E-4</v>
      </c>
      <c r="AD12">
        <f t="shared" si="2"/>
        <v>2.9193140340720737E-4</v>
      </c>
      <c r="AE12">
        <v>1.68057811887289E-4</v>
      </c>
      <c r="AF12">
        <v>2.1429910797996301E-4</v>
      </c>
      <c r="AG12">
        <v>0</v>
      </c>
      <c r="AH12">
        <f t="shared" si="3"/>
        <v>1.2745230662241733E-4</v>
      </c>
      <c r="AI12">
        <v>1.36916706886479E-2</v>
      </c>
      <c r="AJ12">
        <v>1.9563514269725801E-2</v>
      </c>
      <c r="AK12">
        <v>1.5913373814722898E-2</v>
      </c>
      <c r="AL12">
        <f t="shared" si="4"/>
        <v>1.6389519591032201E-2</v>
      </c>
      <c r="AM12">
        <v>5.25626952630246E-3</v>
      </c>
      <c r="AN12">
        <v>8.0941237091268197E-3</v>
      </c>
      <c r="AO12">
        <v>7.9920511491273494E-3</v>
      </c>
      <c r="AP12">
        <f t="shared" si="5"/>
        <v>7.1141481281855427E-3</v>
      </c>
      <c r="AQ12">
        <v>6.9548309901286296E-3</v>
      </c>
      <c r="AR12">
        <v>5.0251256281407001E-3</v>
      </c>
      <c r="AS12">
        <v>6.3215208564045798E-3</v>
      </c>
      <c r="AT12">
        <v>3.0360084725817799E-3</v>
      </c>
      <c r="AU12">
        <v>3.75131415464016E-3</v>
      </c>
      <c r="AV12">
        <v>3.17405554597205E-3</v>
      </c>
      <c r="AW12">
        <v>6.0411344902957402E-2</v>
      </c>
      <c r="AX12">
        <v>7.3628666093999304E-2</v>
      </c>
      <c r="AY12">
        <v>5.1626805875925698E-2</v>
      </c>
      <c r="AZ12">
        <v>6.10955493308434E-2</v>
      </c>
      <c r="BA12">
        <v>7.3692534570091298E-2</v>
      </c>
      <c r="BB12">
        <v>5.1771169509758699E-2</v>
      </c>
      <c r="BC12">
        <v>2.4636710445848701E-2</v>
      </c>
      <c r="BD12">
        <v>1.9774631972127199E-2</v>
      </c>
      <c r="BE12">
        <v>2.0318217097239199E-2</v>
      </c>
      <c r="BF12">
        <v>4.1650900835346498E-2</v>
      </c>
      <c r="BG12">
        <v>4.5600489259230902E-2</v>
      </c>
      <c r="BH12">
        <v>4.3876187512584403E-2</v>
      </c>
      <c r="BI12">
        <v>6.4662647617474603E-2</v>
      </c>
      <c r="BJ12">
        <v>5.2892593879047503E-2</v>
      </c>
      <c r="BK12">
        <v>5.5505286217734998E-2</v>
      </c>
      <c r="BL12">
        <v>4.1993226898887296E-3</v>
      </c>
      <c r="BM12">
        <v>4.9501237530938302E-3</v>
      </c>
      <c r="BN12">
        <v>2.6134521880064798E-3</v>
      </c>
    </row>
    <row r="13" spans="1:66" x14ac:dyDescent="0.2">
      <c r="A13" t="s">
        <v>160</v>
      </c>
      <c r="B13">
        <v>2.5479851835222798E-2</v>
      </c>
      <c r="C13">
        <v>2.8338745116272102E-2</v>
      </c>
      <c r="D13">
        <v>2.71280973575076E-2</v>
      </c>
      <c r="E13">
        <f t="shared" si="0"/>
        <v>2.6982231436334169E-2</v>
      </c>
      <c r="F13">
        <v>1.3501877174250001E-2</v>
      </c>
      <c r="G13">
        <v>1.28952216248731E-2</v>
      </c>
      <c r="H13">
        <f t="shared" si="1"/>
        <v>1.3198549399561551E-2</v>
      </c>
      <c r="I13">
        <v>2.7184975020045601E-2</v>
      </c>
      <c r="J13">
        <v>2.28714945979283E-2</v>
      </c>
      <c r="K13">
        <v>2.6171305568044E-2</v>
      </c>
      <c r="L13">
        <v>4.9230372996394302E-2</v>
      </c>
      <c r="M13">
        <v>4.6276487941090398E-2</v>
      </c>
      <c r="N13">
        <v>5.2468323645033399E-2</v>
      </c>
      <c r="O13">
        <v>3.9856454488132603E-2</v>
      </c>
      <c r="P13">
        <v>2.8448983313577099E-2</v>
      </c>
      <c r="Q13">
        <v>4.1877204116224698E-2</v>
      </c>
      <c r="R13">
        <v>3.0809541743122899E-2</v>
      </c>
      <c r="S13">
        <v>3.5672932968516098E-2</v>
      </c>
      <c r="T13">
        <v>3.2969829153035299E-2</v>
      </c>
      <c r="U13">
        <v>3.3908482124242099E-2</v>
      </c>
      <c r="V13">
        <v>2.6704981419351001E-2</v>
      </c>
      <c r="W13">
        <v>3.08709613599355E-2</v>
      </c>
      <c r="X13">
        <v>4.9909036755590601E-2</v>
      </c>
      <c r="Y13">
        <v>6.8247092239094906E-2</v>
      </c>
      <c r="Z13">
        <v>7.4642664104258002E-2</v>
      </c>
      <c r="AA13">
        <v>0</v>
      </c>
      <c r="AB13">
        <v>0</v>
      </c>
      <c r="AC13">
        <v>0</v>
      </c>
      <c r="AD13">
        <f t="shared" si="2"/>
        <v>0</v>
      </c>
      <c r="AE13">
        <v>0</v>
      </c>
      <c r="AF13">
        <v>0</v>
      </c>
      <c r="AG13">
        <v>0</v>
      </c>
      <c r="AH13">
        <f t="shared" si="3"/>
        <v>0</v>
      </c>
      <c r="AI13">
        <v>4.3183376940076701E-4</v>
      </c>
      <c r="AJ13">
        <v>5.5959709009513199E-4</v>
      </c>
      <c r="AK13">
        <v>2.9912356794591799E-4</v>
      </c>
      <c r="AL13">
        <f t="shared" si="4"/>
        <v>4.3018480914727236E-4</v>
      </c>
      <c r="AM13">
        <v>5.9106645275690305E-4</v>
      </c>
      <c r="AN13">
        <v>3.4351718659424201E-4</v>
      </c>
      <c r="AO13">
        <v>3.4560221185415599E-4</v>
      </c>
      <c r="AP13">
        <f t="shared" si="5"/>
        <v>4.2672861706843365E-4</v>
      </c>
      <c r="AQ13">
        <v>2.6174095124139999E-4</v>
      </c>
      <c r="AR13">
        <v>0</v>
      </c>
      <c r="AS13">
        <v>5.0756736803248405E-4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1:66" x14ac:dyDescent="0.2">
      <c r="A14" t="s">
        <v>161</v>
      </c>
      <c r="B14">
        <v>1.3204945239965999E-2</v>
      </c>
      <c r="C14">
        <v>1.38431657805341E-2</v>
      </c>
      <c r="D14">
        <v>1.6940078467722001E-2</v>
      </c>
      <c r="E14">
        <f t="shared" si="0"/>
        <v>1.4662729829407367E-2</v>
      </c>
      <c r="F14">
        <v>1.1710811834808701E-3</v>
      </c>
      <c r="G14">
        <v>1.84217451783902E-3</v>
      </c>
      <c r="H14">
        <f t="shared" si="1"/>
        <v>1.506627850659945E-3</v>
      </c>
      <c r="I14">
        <v>1.7671004749275299E-2</v>
      </c>
      <c r="J14">
        <v>1.9958685669277301E-2</v>
      </c>
      <c r="K14">
        <v>2.29015953461125E-2</v>
      </c>
      <c r="L14">
        <v>1.4710783868133201E-2</v>
      </c>
      <c r="M14">
        <v>1.75272667222135E-2</v>
      </c>
      <c r="N14">
        <v>1.67372357645783E-2</v>
      </c>
      <c r="O14">
        <v>1.0431181448066E-2</v>
      </c>
      <c r="P14">
        <v>1.3928148080605499E-2</v>
      </c>
      <c r="Q14">
        <v>1.6315480828707499E-2</v>
      </c>
      <c r="R14">
        <v>2.8509843828876801E-2</v>
      </c>
      <c r="S14">
        <v>2.6417292928101001E-2</v>
      </c>
      <c r="T14">
        <v>2.7350054525626999E-2</v>
      </c>
      <c r="U14">
        <v>1.5127886515832601E-2</v>
      </c>
      <c r="V14">
        <v>2.37335820783246E-2</v>
      </c>
      <c r="W14">
        <v>2.1100610266478002E-2</v>
      </c>
      <c r="X14">
        <v>5.7717386054449097E-3</v>
      </c>
      <c r="Y14">
        <v>7.3546912933783997E-3</v>
      </c>
      <c r="Z14">
        <v>8.2502552399255306E-3</v>
      </c>
      <c r="AA14">
        <v>0</v>
      </c>
      <c r="AB14">
        <v>0</v>
      </c>
      <c r="AC14">
        <v>0</v>
      </c>
      <c r="AD14">
        <f t="shared" si="2"/>
        <v>0</v>
      </c>
      <c r="AE14" s="7">
        <v>5.6019270629096397E-5</v>
      </c>
      <c r="AF14" s="7">
        <v>5.3574776994990801E-5</v>
      </c>
      <c r="AG14">
        <v>2.1758050478677099E-4</v>
      </c>
      <c r="AH14">
        <f t="shared" si="3"/>
        <v>1.0905818413695274E-4</v>
      </c>
      <c r="AI14">
        <v>1.1380089923031999E-2</v>
      </c>
      <c r="AJ14">
        <v>1.15948517067711E-2</v>
      </c>
      <c r="AK14">
        <v>1.14265202955341E-2</v>
      </c>
      <c r="AL14">
        <f t="shared" si="4"/>
        <v>1.14671539751124E-2</v>
      </c>
      <c r="AM14">
        <v>7.17723549776239E-3</v>
      </c>
      <c r="AN14">
        <v>6.4409472486420304E-3</v>
      </c>
      <c r="AO14">
        <v>1.15560739588733E-2</v>
      </c>
      <c r="AP14">
        <f t="shared" si="5"/>
        <v>8.3914189017592396E-3</v>
      </c>
      <c r="AQ14">
        <v>4.1130720909362904E-3</v>
      </c>
      <c r="AR14">
        <v>2.3899987743595998E-3</v>
      </c>
      <c r="AS14">
        <v>4.7988187523071201E-3</v>
      </c>
      <c r="AT14">
        <v>1.0590727229936501E-3</v>
      </c>
      <c r="AU14">
        <v>1.62477300965306E-3</v>
      </c>
      <c r="AV14">
        <v>1.27652233914093E-3</v>
      </c>
      <c r="AW14">
        <v>9.9017723119058307E-3</v>
      </c>
      <c r="AX14">
        <v>1.68732359798748E-2</v>
      </c>
      <c r="AY14">
        <v>9.1052567682408606E-3</v>
      </c>
      <c r="AZ14">
        <v>1.1577964519141001E-2</v>
      </c>
      <c r="BA14">
        <v>2.10519566564791E-2</v>
      </c>
      <c r="BB14">
        <v>8.8942677116950995E-3</v>
      </c>
      <c r="BC14">
        <v>2.7956550860537598E-3</v>
      </c>
      <c r="BD14">
        <v>4.8024106218023197E-3</v>
      </c>
      <c r="BE14">
        <v>3.32631112096685E-3</v>
      </c>
      <c r="BF14">
        <v>1.72017347265477E-2</v>
      </c>
      <c r="BG14">
        <v>8.0842443238284493E-3</v>
      </c>
      <c r="BH14">
        <v>1.3765078435320601E-2</v>
      </c>
      <c r="BI14">
        <v>2.9296391114047401E-2</v>
      </c>
      <c r="BJ14">
        <v>2.17861140056347E-2</v>
      </c>
      <c r="BK14">
        <v>2.2097342604057501E-2</v>
      </c>
      <c r="BL14">
        <v>6.1925495887760001E-4</v>
      </c>
      <c r="BM14">
        <v>1.16252906322658E-3</v>
      </c>
      <c r="BN14">
        <v>1.2155591572123199E-4</v>
      </c>
    </row>
    <row r="15" spans="1:66" x14ac:dyDescent="0.2">
      <c r="A15" t="s">
        <v>162</v>
      </c>
      <c r="B15">
        <v>3.0867661914917499E-3</v>
      </c>
      <c r="C15">
        <v>2.4671730995643099E-3</v>
      </c>
      <c r="D15">
        <v>3.0683915715119E-3</v>
      </c>
      <c r="E15">
        <f t="shared" si="0"/>
        <v>2.8741102875226537E-3</v>
      </c>
      <c r="F15">
        <v>1.6050700926531901E-2</v>
      </c>
      <c r="G15">
        <v>1.1504191886913E-2</v>
      </c>
      <c r="H15">
        <f t="shared" si="1"/>
        <v>1.377744640672245E-2</v>
      </c>
      <c r="I15">
        <v>1.7886880898044799E-3</v>
      </c>
      <c r="J15">
        <v>1.67932351498759E-3</v>
      </c>
      <c r="K15">
        <v>2.3024209479434901E-3</v>
      </c>
      <c r="L15">
        <v>3.9163106384268098E-3</v>
      </c>
      <c r="M15">
        <v>3.3478205388039399E-3</v>
      </c>
      <c r="N15">
        <v>4.0108764123786998E-3</v>
      </c>
      <c r="O15">
        <v>4.1646881154591697E-3</v>
      </c>
      <c r="P15">
        <v>3.2673778912495101E-3</v>
      </c>
      <c r="Q15">
        <v>4.22547657109806E-3</v>
      </c>
      <c r="R15">
        <v>2.4359169544627799E-3</v>
      </c>
      <c r="S15">
        <v>3.41463054877464E-3</v>
      </c>
      <c r="T15">
        <v>3.2351872046528498E-3</v>
      </c>
      <c r="U15">
        <v>3.7861413881962501E-3</v>
      </c>
      <c r="V15">
        <v>3.6333819790271898E-3</v>
      </c>
      <c r="W15">
        <v>2.9904579281377001E-3</v>
      </c>
      <c r="X15">
        <v>2.1251589844315999E-3</v>
      </c>
      <c r="Y15">
        <v>2.6975135272369502E-3</v>
      </c>
      <c r="Z15">
        <v>3.5057954477208599E-3</v>
      </c>
      <c r="AA15">
        <v>0</v>
      </c>
      <c r="AB15">
        <v>0</v>
      </c>
      <c r="AC15">
        <v>2.8070963395463702E-4</v>
      </c>
      <c r="AD15">
        <f t="shared" si="2"/>
        <v>9.3569877984879012E-5</v>
      </c>
      <c r="AE15">
        <v>0</v>
      </c>
      <c r="AF15">
        <v>0</v>
      </c>
      <c r="AG15">
        <v>0</v>
      </c>
      <c r="AH15">
        <f t="shared" si="3"/>
        <v>0</v>
      </c>
      <c r="AI15">
        <v>3.1777885030609403E-2</v>
      </c>
      <c r="AJ15">
        <v>3.18522663682149E-2</v>
      </c>
      <c r="AK15">
        <v>2.8715862522808201E-2</v>
      </c>
      <c r="AL15">
        <f t="shared" si="4"/>
        <v>3.0782004640544165E-2</v>
      </c>
      <c r="AM15">
        <v>1.9800726167356199E-2</v>
      </c>
      <c r="AN15">
        <v>2.1126306975545898E-2</v>
      </c>
      <c r="AO15">
        <v>2.4624157594608599E-2</v>
      </c>
      <c r="AP15">
        <f t="shared" si="5"/>
        <v>2.1850396912503567E-2</v>
      </c>
      <c r="AQ15">
        <v>1.1853125934789099E-2</v>
      </c>
      <c r="AR15">
        <v>1.36046084078931E-2</v>
      </c>
      <c r="AS15">
        <v>1.5780730897010001E-2</v>
      </c>
      <c r="AT15">
        <v>7.57825370675453E-3</v>
      </c>
      <c r="AU15">
        <v>1.0202618751792E-2</v>
      </c>
      <c r="AV15">
        <v>1.14887010522684E-2</v>
      </c>
      <c r="AW15">
        <v>1.9487530613857201E-2</v>
      </c>
      <c r="AX15">
        <v>1.5001840716652301E-2</v>
      </c>
      <c r="AY15">
        <v>2.06385820080126E-2</v>
      </c>
      <c r="AZ15">
        <v>1.6028633675692499E-2</v>
      </c>
      <c r="BA15">
        <v>9.2756844557481503E-3</v>
      </c>
      <c r="BB15">
        <v>1.44651913324113E-2</v>
      </c>
      <c r="BC15">
        <v>1.8754186202277302E-2</v>
      </c>
      <c r="BD15">
        <v>1.6824131328666898E-2</v>
      </c>
      <c r="BE15">
        <v>1.3887348930036601E-2</v>
      </c>
      <c r="BF15">
        <v>1.5659108769682999E-2</v>
      </c>
      <c r="BG15">
        <v>2.0965522513569299E-2</v>
      </c>
      <c r="BH15">
        <v>2.0446266771613202E-2</v>
      </c>
      <c r="BI15">
        <v>3.46849450821703E-3</v>
      </c>
      <c r="BJ15">
        <v>3.9365520435336301E-3</v>
      </c>
      <c r="BK15">
        <v>5.21478236022478E-3</v>
      </c>
      <c r="BL15">
        <v>1.75713594581519E-2</v>
      </c>
      <c r="BM15">
        <v>3.3000825020625499E-2</v>
      </c>
      <c r="BN15">
        <v>2.1069692058346801E-2</v>
      </c>
    </row>
    <row r="16" spans="1:66" ht="17" customHeight="1" x14ac:dyDescent="0.2">
      <c r="A16" t="s">
        <v>163</v>
      </c>
      <c r="B16">
        <v>1.51532158491413E-2</v>
      </c>
      <c r="C16">
        <v>1.2650823765850999E-2</v>
      </c>
      <c r="D16">
        <v>1.0603530248427801E-2</v>
      </c>
      <c r="E16">
        <f t="shared" si="0"/>
        <v>1.28025232878067E-2</v>
      </c>
      <c r="F16">
        <v>2.47993662384184E-3</v>
      </c>
      <c r="G16">
        <v>0</v>
      </c>
      <c r="H16">
        <f t="shared" si="1"/>
        <v>1.23996831192092E-3</v>
      </c>
      <c r="I16">
        <v>1.3908591870721E-2</v>
      </c>
      <c r="J16">
        <v>9.68954806877796E-3</v>
      </c>
      <c r="K16">
        <v>1.4032506369123E-2</v>
      </c>
      <c r="L16">
        <v>2.07026633942369E-2</v>
      </c>
      <c r="M16">
        <v>1.9899265130872801E-2</v>
      </c>
      <c r="N16">
        <v>2.2374789688140401E-2</v>
      </c>
      <c r="O16">
        <v>1.88539712441908E-2</v>
      </c>
      <c r="P16">
        <v>1.4026929272666499E-2</v>
      </c>
      <c r="Q16">
        <v>1.8267554605849799E-2</v>
      </c>
      <c r="R16">
        <v>1.4359089415780599E-2</v>
      </c>
      <c r="S16">
        <v>1.5738275574697799E-2</v>
      </c>
      <c r="T16">
        <v>1.31733914940022E-2</v>
      </c>
      <c r="U16">
        <v>1.69959386545021E-2</v>
      </c>
      <c r="V16">
        <v>1.4465825146313199E-2</v>
      </c>
      <c r="W16">
        <v>1.5150131641023299E-2</v>
      </c>
      <c r="X16">
        <v>1.8884935520744401E-2</v>
      </c>
      <c r="Y16">
        <v>1.9207883086590199E-2</v>
      </c>
      <c r="Z16">
        <v>1.82721758452946E-2</v>
      </c>
      <c r="AA16">
        <v>0</v>
      </c>
      <c r="AB16">
        <v>0</v>
      </c>
      <c r="AC16">
        <v>0</v>
      </c>
      <c r="AD16">
        <f t="shared" si="2"/>
        <v>0</v>
      </c>
      <c r="AE16">
        <v>1.96067447201837E-4</v>
      </c>
      <c r="AF16">
        <v>1.0714955398998199E-4</v>
      </c>
      <c r="AG16">
        <v>0</v>
      </c>
      <c r="AH16">
        <f t="shared" si="3"/>
        <v>1.0107233373060633E-4</v>
      </c>
      <c r="AI16">
        <v>1.2091345543221501E-2</v>
      </c>
      <c r="AJ16">
        <v>1.2176832680470101E-2</v>
      </c>
      <c r="AK16">
        <v>1.21444168586043E-2</v>
      </c>
      <c r="AL16">
        <f t="shared" si="4"/>
        <v>1.2137531694098633E-2</v>
      </c>
      <c r="AM16">
        <v>8.6549016296546492E-3</v>
      </c>
      <c r="AN16">
        <v>1.41486141228503E-2</v>
      </c>
      <c r="AO16">
        <v>1.2744081562122001E-2</v>
      </c>
      <c r="AP16">
        <f t="shared" si="5"/>
        <v>1.1849199104875649E-2</v>
      </c>
      <c r="AQ16">
        <v>3.7017648818426598E-3</v>
      </c>
      <c r="AR16">
        <v>3.9833312905993403E-3</v>
      </c>
      <c r="AS16">
        <v>5.6755260243632304E-3</v>
      </c>
      <c r="AT16">
        <v>4.4010355377735897E-3</v>
      </c>
      <c r="AU16">
        <v>6.7380292459141697E-3</v>
      </c>
      <c r="AV16">
        <v>6.3826116957046803E-3</v>
      </c>
      <c r="AW16">
        <v>1.0270455323519299E-2</v>
      </c>
      <c r="AX16">
        <v>1.53086268253773E-2</v>
      </c>
      <c r="AY16">
        <v>9.5908704625470402E-3</v>
      </c>
      <c r="AZ16">
        <v>1.20136943666355E-2</v>
      </c>
      <c r="BA16">
        <v>9.7886255316420503E-3</v>
      </c>
      <c r="BB16">
        <v>5.4364530505609304E-3</v>
      </c>
      <c r="BC16">
        <v>5.1836104720580098E-3</v>
      </c>
      <c r="BD16">
        <v>4.2060328321667298E-3</v>
      </c>
      <c r="BE16">
        <v>1.9957866725801099E-3</v>
      </c>
      <c r="BF16">
        <v>6.4033530284949196E-3</v>
      </c>
      <c r="BG16">
        <v>5.7143949239354796E-3</v>
      </c>
      <c r="BH16">
        <v>5.6744339294539699E-3</v>
      </c>
      <c r="BI16">
        <v>8.1137996531505507E-3</v>
      </c>
      <c r="BJ16">
        <v>5.40311064798734E-3</v>
      </c>
      <c r="BK16">
        <v>8.7389275169063706E-3</v>
      </c>
      <c r="BL16">
        <v>1.0062893081760999E-3</v>
      </c>
      <c r="BM16">
        <v>1.3125328133203301E-3</v>
      </c>
      <c r="BN16">
        <v>6.6855753646677504E-4</v>
      </c>
    </row>
    <row r="17" spans="1:66" x14ac:dyDescent="0.2">
      <c r="A17" t="s">
        <v>164</v>
      </c>
      <c r="B17">
        <v>2.0597148950499501E-2</v>
      </c>
      <c r="C17">
        <v>2.3366903885235199E-2</v>
      </c>
      <c r="D17">
        <v>2.2453594572782402E-2</v>
      </c>
      <c r="E17">
        <f t="shared" si="0"/>
        <v>2.2139215802839035E-2</v>
      </c>
      <c r="F17">
        <v>8.2079013536320702E-2</v>
      </c>
      <c r="G17">
        <v>3.7445016729952298E-2</v>
      </c>
      <c r="H17">
        <f t="shared" si="1"/>
        <v>5.9762015133136503E-2</v>
      </c>
      <c r="I17">
        <v>1.6067353358416098E-2</v>
      </c>
      <c r="J17">
        <v>1.60204491075807E-2</v>
      </c>
      <c r="K17">
        <v>1.7111483494775301E-2</v>
      </c>
      <c r="L17">
        <v>2.60582371299579E-2</v>
      </c>
      <c r="M17">
        <v>2.6001906606315801E-2</v>
      </c>
      <c r="N17">
        <v>2.6991683212528601E-2</v>
      </c>
      <c r="O17">
        <v>2.22713508379975E-2</v>
      </c>
      <c r="P17">
        <v>1.9338317984255799E-2</v>
      </c>
      <c r="Q17">
        <v>2.2878625997124102E-2</v>
      </c>
      <c r="R17">
        <v>1.9695670638386498E-2</v>
      </c>
      <c r="S17">
        <v>2.2597036720184701E-2</v>
      </c>
      <c r="T17">
        <v>1.9629225736096E-2</v>
      </c>
      <c r="U17">
        <v>2.2124742517366999E-2</v>
      </c>
      <c r="V17">
        <v>2.0190470459024799E-2</v>
      </c>
      <c r="W17">
        <v>2.27366114230927E-2</v>
      </c>
      <c r="X17">
        <v>9.2170721105082707E-3</v>
      </c>
      <c r="Y17">
        <v>1.3773186715539299E-2</v>
      </c>
      <c r="Z17">
        <v>1.51492402858687E-2</v>
      </c>
      <c r="AA17">
        <v>0</v>
      </c>
      <c r="AB17">
        <v>0</v>
      </c>
      <c r="AC17">
        <v>0</v>
      </c>
      <c r="AD17">
        <f t="shared" si="2"/>
        <v>0</v>
      </c>
      <c r="AE17">
        <v>0</v>
      </c>
      <c r="AF17">
        <v>0</v>
      </c>
      <c r="AG17">
        <v>0</v>
      </c>
      <c r="AH17">
        <f t="shared" si="3"/>
        <v>0</v>
      </c>
      <c r="AI17">
        <v>1.5495211725556901E-3</v>
      </c>
      <c r="AJ17">
        <v>1.6116396194739799E-3</v>
      </c>
      <c r="AK17">
        <v>1.2264066285782699E-3</v>
      </c>
      <c r="AL17">
        <f t="shared" si="4"/>
        <v>1.4625224735359797E-3</v>
      </c>
      <c r="AM17">
        <v>1.4565566157223699E-3</v>
      </c>
      <c r="AN17">
        <v>1.1593705047555701E-3</v>
      </c>
      <c r="AO17">
        <v>8.4240539139450498E-4</v>
      </c>
      <c r="AP17">
        <f t="shared" si="5"/>
        <v>1.1527775039574817E-3</v>
      </c>
      <c r="AQ17">
        <v>4.86090338019743E-4</v>
      </c>
      <c r="AR17">
        <v>4.2897413898762099E-4</v>
      </c>
      <c r="AS17">
        <v>3.6913990402362499E-4</v>
      </c>
      <c r="AT17">
        <v>6.8251353259590503E-4</v>
      </c>
      <c r="AU17">
        <v>1.9114976584153699E-4</v>
      </c>
      <c r="AV17">
        <v>4.8300845264792098E-4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2">
      <c r="A18" t="s">
        <v>165</v>
      </c>
      <c r="B18">
        <v>2.1823837852572799E-2</v>
      </c>
      <c r="C18">
        <v>1.5297973018575E-2</v>
      </c>
      <c r="D18">
        <v>2.6664642380560499E-2</v>
      </c>
      <c r="E18">
        <f t="shared" si="0"/>
        <v>2.1262151083902767E-2</v>
      </c>
      <c r="F18">
        <v>3.1550304825543399E-2</v>
      </c>
      <c r="G18">
        <v>2.3384337757058501E-2</v>
      </c>
      <c r="H18">
        <f t="shared" si="1"/>
        <v>2.7467321291300952E-2</v>
      </c>
      <c r="I18">
        <v>3.6112995744155899E-2</v>
      </c>
      <c r="J18">
        <v>3.3185216008560101E-2</v>
      </c>
      <c r="K18">
        <v>3.1034999523167298E-2</v>
      </c>
      <c r="L18">
        <v>1.75817349937884E-2</v>
      </c>
      <c r="M18">
        <v>1.8975987269274401E-2</v>
      </c>
      <c r="N18">
        <v>1.3172898276838201E-2</v>
      </c>
      <c r="O18">
        <v>1.3544966954951301E-2</v>
      </c>
      <c r="P18">
        <v>9.8089723716604404E-2</v>
      </c>
      <c r="Q18">
        <v>1.46927692937992E-2</v>
      </c>
      <c r="R18">
        <v>1.96155417912003E-2</v>
      </c>
      <c r="S18">
        <v>2.1299034610931199E-2</v>
      </c>
      <c r="T18">
        <v>2.6521264994547399E-2</v>
      </c>
      <c r="U18">
        <v>1.34683223390681E-2</v>
      </c>
      <c r="V18">
        <v>2.6607188529646299E-2</v>
      </c>
      <c r="W18">
        <v>1.9989651341520899E-2</v>
      </c>
      <c r="X18">
        <v>5.9005361196528897E-3</v>
      </c>
      <c r="Y18">
        <v>6.8548579045080204E-3</v>
      </c>
      <c r="Z18">
        <v>8.9484115068164099E-3</v>
      </c>
      <c r="AA18">
        <v>0</v>
      </c>
      <c r="AB18">
        <v>0</v>
      </c>
      <c r="AC18">
        <v>0</v>
      </c>
      <c r="AD18">
        <f t="shared" si="2"/>
        <v>0</v>
      </c>
      <c r="AE18">
        <v>0</v>
      </c>
      <c r="AF18">
        <v>0</v>
      </c>
      <c r="AG18">
        <v>0</v>
      </c>
      <c r="AH18">
        <f t="shared" si="3"/>
        <v>0</v>
      </c>
      <c r="AI18">
        <v>0</v>
      </c>
      <c r="AJ18">
        <v>0</v>
      </c>
      <c r="AK18">
        <v>0</v>
      </c>
      <c r="AL18">
        <f t="shared" si="4"/>
        <v>0</v>
      </c>
      <c r="AM18">
        <v>0</v>
      </c>
      <c r="AN18">
        <v>0</v>
      </c>
      <c r="AO18">
        <v>0</v>
      </c>
      <c r="AP18">
        <f t="shared" si="5"/>
        <v>0</v>
      </c>
      <c r="AQ18">
        <v>0</v>
      </c>
      <c r="AR18">
        <v>0</v>
      </c>
      <c r="AS18">
        <v>0</v>
      </c>
      <c r="AT18" s="7">
        <v>4.7069898799717601E-5</v>
      </c>
      <c r="AU18">
        <v>0</v>
      </c>
      <c r="AV18">
        <v>0</v>
      </c>
      <c r="AW18">
        <v>0</v>
      </c>
      <c r="AX18">
        <v>1.8407166523499801E-4</v>
      </c>
      <c r="AY18">
        <v>0</v>
      </c>
      <c r="AZ18" s="7">
        <v>9.3370681605975704E-5</v>
      </c>
      <c r="BA18" s="7">
        <v>8.5490179315651096E-5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s="7">
        <v>9.5247166396799705E-5</v>
      </c>
      <c r="BL18">
        <v>0</v>
      </c>
      <c r="BM18">
        <v>0</v>
      </c>
      <c r="BN18">
        <v>0</v>
      </c>
    </row>
    <row r="19" spans="1:66" x14ac:dyDescent="0.2">
      <c r="A19" t="s">
        <v>166</v>
      </c>
      <c r="B19">
        <v>0.4504353542966183</v>
      </c>
      <c r="C19">
        <v>0.43996670441166508</v>
      </c>
      <c r="D19">
        <v>0.42933510192014179</v>
      </c>
      <c r="E19">
        <f t="shared" si="0"/>
        <v>0.4399123868761417</v>
      </c>
      <c r="F19">
        <v>0.42007370922743037</v>
      </c>
      <c r="G19">
        <v>0.28794315575773466</v>
      </c>
      <c r="H19">
        <f t="shared" si="1"/>
        <v>0.35400843249258251</v>
      </c>
      <c r="I19">
        <v>0.3726947511256401</v>
      </c>
      <c r="J19">
        <v>0.41504554979268538</v>
      </c>
      <c r="K19">
        <v>0.40079835424585475</v>
      </c>
      <c r="L19">
        <v>0.40730388146532093</v>
      </c>
      <c r="M19">
        <v>0.41557261993229277</v>
      </c>
      <c r="N19">
        <v>0.38423079683276318</v>
      </c>
      <c r="O19">
        <v>0.56032570196402021</v>
      </c>
      <c r="P19">
        <v>0.52627579708823424</v>
      </c>
      <c r="Q19">
        <v>0.51626326486347551</v>
      </c>
      <c r="R19">
        <v>0.38999511214032179</v>
      </c>
      <c r="S19">
        <v>0.38299174736158959</v>
      </c>
      <c r="T19">
        <v>0.41981824790985089</v>
      </c>
      <c r="U19">
        <v>0.51494858686859435</v>
      </c>
      <c r="V19">
        <v>0.48680548241984734</v>
      </c>
      <c r="W19">
        <v>0.47202057556803478</v>
      </c>
      <c r="X19">
        <v>0.24149533913995513</v>
      </c>
      <c r="Y19">
        <v>0.29053807461005088</v>
      </c>
      <c r="Z19">
        <v>0.31091976457870329</v>
      </c>
      <c r="AA19">
        <v>2.0401224073448576E-3</v>
      </c>
      <c r="AB19">
        <v>1.6301481516992622E-3</v>
      </c>
      <c r="AC19">
        <v>3.7053671682013567E-3</v>
      </c>
      <c r="AD19">
        <f t="shared" si="2"/>
        <v>2.4585459090818254E-3</v>
      </c>
      <c r="AE19">
        <v>8.4028905943656085E-4</v>
      </c>
      <c r="AF19">
        <v>1.6072433098498484E-3</v>
      </c>
      <c r="AG19">
        <v>9.0140494840251773E-4</v>
      </c>
      <c r="AH19">
        <f t="shared" si="3"/>
        <v>1.1163124392296424E-3</v>
      </c>
      <c r="AI19">
        <v>0.12497777326186854</v>
      </c>
      <c r="AJ19">
        <v>0.10947957470621117</v>
      </c>
      <c r="AK19">
        <v>0.11181238969818352</v>
      </c>
      <c r="AL19">
        <f t="shared" si="4"/>
        <v>0.11542324588875441</v>
      </c>
      <c r="AM19">
        <v>2.6999071181288081E-2</v>
      </c>
      <c r="AN19">
        <v>3.4394658307748682E-2</v>
      </c>
      <c r="AO19">
        <v>5.5123552790738217E-2</v>
      </c>
      <c r="AP19">
        <f t="shared" si="5"/>
        <v>3.8839094093258329E-2</v>
      </c>
      <c r="AQ19">
        <v>3.9597666766377104E-2</v>
      </c>
      <c r="AR19">
        <v>4.8657923765166644E-2</v>
      </c>
      <c r="AS19">
        <v>4.4758213362864119E-2</v>
      </c>
      <c r="AT19" s="7">
        <v>4.3775005883737172E-3</v>
      </c>
      <c r="AU19">
        <v>8.9123578323608843E-3</v>
      </c>
      <c r="AV19">
        <v>9.7981714680007714E-3</v>
      </c>
      <c r="AW19">
        <v>4.6348721459978925E-3</v>
      </c>
      <c r="AX19">
        <v>5.3687569026875659E-3</v>
      </c>
      <c r="AY19">
        <v>3.8242078426614645E-3</v>
      </c>
      <c r="AZ19" s="7">
        <v>1.4939309056952732E-3</v>
      </c>
      <c r="BA19" s="7">
        <v>1.7525486759714104E-3</v>
      </c>
      <c r="BB19">
        <v>1.3447057015523178E-3</v>
      </c>
      <c r="BC19">
        <v>4.3390896648125565E-3</v>
      </c>
      <c r="BD19">
        <v>3.4213252142253348E-3</v>
      </c>
      <c r="BE19">
        <v>3.0491185275532962E-3</v>
      </c>
      <c r="BF19">
        <v>2.2120674098435877E-3</v>
      </c>
      <c r="BG19">
        <v>1.8347221160466276E-3</v>
      </c>
      <c r="BH19">
        <v>2.4711244531485654E-3</v>
      </c>
      <c r="BI19">
        <v>2.0645800644149004E-3</v>
      </c>
      <c r="BJ19">
        <v>1.5244490756822771E-3</v>
      </c>
      <c r="BK19" s="7">
        <v>2.7145442423095467E-3</v>
      </c>
      <c r="BL19">
        <v>4.2573778422849706E-4</v>
      </c>
      <c r="BM19">
        <v>4.1813545338628133E-3</v>
      </c>
      <c r="BN19">
        <v>1.4181523500778059E-4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5AC-87BC-F24E-AEDC-7461C6535D24}">
  <dimension ref="A1:G9"/>
  <sheetViews>
    <sheetView workbookViewId="0">
      <selection activeCell="M8" sqref="M8"/>
    </sheetView>
  </sheetViews>
  <sheetFormatPr baseColWidth="10" defaultRowHeight="16" x14ac:dyDescent="0.2"/>
  <cols>
    <col min="1" max="1" width="28.33203125" customWidth="1"/>
  </cols>
  <sheetData>
    <row r="1" spans="1:7" ht="22" x14ac:dyDescent="0.3">
      <c r="A1" s="11" t="s">
        <v>1046</v>
      </c>
    </row>
    <row r="3" spans="1:7" x14ac:dyDescent="0.2">
      <c r="A3" s="3"/>
      <c r="B3" s="17" t="s">
        <v>167</v>
      </c>
      <c r="C3" s="17"/>
      <c r="D3" s="17"/>
      <c r="E3" s="17" t="s">
        <v>86</v>
      </c>
      <c r="F3" s="17"/>
      <c r="G3" s="17"/>
    </row>
    <row r="4" spans="1:7" x14ac:dyDescent="0.2">
      <c r="A4" s="6" t="s">
        <v>87</v>
      </c>
      <c r="B4" s="3" t="s">
        <v>52</v>
      </c>
      <c r="C4" s="3" t="s">
        <v>53</v>
      </c>
      <c r="D4" s="3" t="s">
        <v>54</v>
      </c>
      <c r="E4" s="3" t="s">
        <v>70</v>
      </c>
      <c r="F4" s="3" t="s">
        <v>71</v>
      </c>
      <c r="G4" s="3" t="s">
        <v>72</v>
      </c>
    </row>
    <row r="5" spans="1:7" x14ac:dyDescent="0.2">
      <c r="A5" t="s">
        <v>88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</row>
    <row r="6" spans="1:7" x14ac:dyDescent="0.2">
      <c r="A6" t="s">
        <v>89</v>
      </c>
      <c r="B6">
        <v>2</v>
      </c>
      <c r="C6">
        <v>3</v>
      </c>
      <c r="D6">
        <v>2</v>
      </c>
      <c r="E6">
        <v>0</v>
      </c>
      <c r="F6">
        <v>0</v>
      </c>
      <c r="G6">
        <v>0</v>
      </c>
    </row>
    <row r="7" spans="1:7" x14ac:dyDescent="0.2">
      <c r="A7" t="s">
        <v>90</v>
      </c>
      <c r="B7">
        <v>0</v>
      </c>
      <c r="C7">
        <v>1</v>
      </c>
      <c r="D7">
        <v>2</v>
      </c>
      <c r="E7">
        <v>0</v>
      </c>
      <c r="F7">
        <v>0</v>
      </c>
      <c r="G7">
        <v>0</v>
      </c>
    </row>
    <row r="8" spans="1:7" x14ac:dyDescent="0.2">
      <c r="A8" t="s">
        <v>91</v>
      </c>
      <c r="B8">
        <v>0</v>
      </c>
      <c r="C8">
        <v>2</v>
      </c>
      <c r="D8">
        <v>1</v>
      </c>
      <c r="E8">
        <v>0</v>
      </c>
      <c r="F8">
        <v>0</v>
      </c>
      <c r="G8">
        <v>0</v>
      </c>
    </row>
    <row r="9" spans="1:7" x14ac:dyDescent="0.2">
      <c r="A9" t="s">
        <v>43</v>
      </c>
      <c r="B9">
        <v>0</v>
      </c>
      <c r="C9">
        <v>3</v>
      </c>
      <c r="D9">
        <v>1</v>
      </c>
      <c r="E9">
        <v>1</v>
      </c>
      <c r="F9">
        <v>1</v>
      </c>
      <c r="G9">
        <v>2</v>
      </c>
    </row>
  </sheetData>
  <mergeCells count="2">
    <mergeCell ref="B3:D3"/>
    <mergeCell ref="E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33EB-3640-224D-9EDD-64B6CD323FA0}">
  <dimension ref="A1:AV38"/>
  <sheetViews>
    <sheetView zoomScale="118" workbookViewId="0"/>
  </sheetViews>
  <sheetFormatPr baseColWidth="10" defaultRowHeight="16" x14ac:dyDescent="0.2"/>
  <cols>
    <col min="1" max="1" width="15.5" customWidth="1"/>
    <col min="2" max="2" width="38.33203125" customWidth="1"/>
    <col min="5" max="5" width="12.33203125" customWidth="1"/>
    <col min="6" max="6" width="12.1640625" customWidth="1"/>
    <col min="7" max="7" width="15" customWidth="1"/>
    <col min="8" max="8" width="11.1640625" customWidth="1"/>
  </cols>
  <sheetData>
    <row r="1" spans="1:48" ht="22" x14ac:dyDescent="0.3">
      <c r="A1" s="11" t="s">
        <v>259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1"/>
      <c r="S1" s="1"/>
      <c r="T1" s="1"/>
      <c r="U1" s="1"/>
      <c r="V1" s="1"/>
      <c r="W1" s="1"/>
      <c r="X1" s="1"/>
      <c r="Y1" s="1"/>
      <c r="Z1" s="1"/>
    </row>
    <row r="2" spans="1:48" ht="22" x14ac:dyDescent="0.3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</row>
    <row r="3" spans="1:48" x14ac:dyDescent="0.2">
      <c r="A3" s="1" t="s">
        <v>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74</v>
      </c>
      <c r="Z3" s="1" t="s">
        <v>75</v>
      </c>
      <c r="AA3" s="5"/>
      <c r="AD3" s="5"/>
      <c r="AG3" s="5"/>
      <c r="AJ3" s="5"/>
      <c r="AM3" s="5"/>
      <c r="AP3" s="5"/>
      <c r="AS3" s="5"/>
      <c r="AV3" s="5"/>
    </row>
    <row r="4" spans="1:48" x14ac:dyDescent="0.2">
      <c r="A4" s="2" t="s">
        <v>22</v>
      </c>
      <c r="B4" s="2" t="s">
        <v>168</v>
      </c>
      <c r="C4" s="9">
        <v>0.18762055999999999</v>
      </c>
      <c r="D4" s="9">
        <v>0.33425998000000001</v>
      </c>
      <c r="E4" s="9">
        <v>0.17354588000000001</v>
      </c>
      <c r="F4" s="9">
        <v>0.25551720999999999</v>
      </c>
      <c r="G4" s="9">
        <v>0.22791502999999999</v>
      </c>
      <c r="H4" s="9">
        <v>0.15225359999999999</v>
      </c>
      <c r="I4" s="9">
        <v>1.7339020000000001</v>
      </c>
      <c r="J4" s="9">
        <v>1.1733130000000001</v>
      </c>
      <c r="K4" s="9">
        <v>1.33979892</v>
      </c>
      <c r="L4" s="9">
        <v>5.4171879999999999E-2</v>
      </c>
      <c r="M4" s="9">
        <v>5.4509879999999997E-2</v>
      </c>
      <c r="N4" s="9">
        <v>3.297423E-2</v>
      </c>
      <c r="O4" s="9">
        <v>10.4805058</v>
      </c>
      <c r="P4" s="9">
        <v>8.8405170999999996</v>
      </c>
      <c r="Q4" s="9">
        <v>7.0999105</v>
      </c>
      <c r="R4" s="9">
        <v>0.35923156000000001</v>
      </c>
      <c r="S4" s="9">
        <v>0.43910875999999999</v>
      </c>
      <c r="T4" s="9">
        <v>0.36996283000000002</v>
      </c>
      <c r="U4" s="9">
        <v>0.21067684</v>
      </c>
      <c r="V4" s="9">
        <v>0.13165189999999999</v>
      </c>
      <c r="W4" s="9">
        <v>0.221442</v>
      </c>
      <c r="X4" s="9">
        <v>0</v>
      </c>
      <c r="Y4" s="9">
        <v>0.3218241</v>
      </c>
      <c r="Z4" s="9">
        <v>0</v>
      </c>
      <c r="AA4" s="5"/>
      <c r="AD4" s="5"/>
      <c r="AG4" s="5"/>
      <c r="AJ4" s="5"/>
      <c r="AM4" s="5"/>
      <c r="AP4" s="5"/>
      <c r="AS4" s="5"/>
      <c r="AV4" s="5"/>
    </row>
    <row r="5" spans="1:48" x14ac:dyDescent="0.2">
      <c r="A5" s="2" t="s">
        <v>25</v>
      </c>
      <c r="B5" s="2" t="s">
        <v>168</v>
      </c>
      <c r="C5" s="9">
        <v>0.25890324999999997</v>
      </c>
      <c r="D5" s="9">
        <v>0.21002692000000001</v>
      </c>
      <c r="E5" s="9">
        <v>0.21955549999999999</v>
      </c>
      <c r="F5" s="9">
        <v>0</v>
      </c>
      <c r="G5" s="9">
        <v>0.12331597</v>
      </c>
      <c r="H5" s="9">
        <v>5.9274840000000002E-2</v>
      </c>
      <c r="I5" s="9">
        <v>0.19364880000000001</v>
      </c>
      <c r="J5" s="9">
        <v>0.4818634</v>
      </c>
      <c r="K5" s="9">
        <v>0.30393131000000001</v>
      </c>
      <c r="L5" s="9">
        <v>0.2061664</v>
      </c>
      <c r="M5" s="9">
        <v>0.14985770000000001</v>
      </c>
      <c r="N5" s="9">
        <v>0.1460476</v>
      </c>
      <c r="O5" s="9">
        <v>0.46985490000000002</v>
      </c>
      <c r="P5" s="9">
        <v>0.67082969999999997</v>
      </c>
      <c r="Q5" s="9">
        <v>0.68445160000000005</v>
      </c>
      <c r="R5" s="9">
        <v>1.3177650000000001E-2</v>
      </c>
      <c r="S5" s="9">
        <v>0</v>
      </c>
      <c r="T5" s="9">
        <v>3.7274920000000003E-2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5"/>
      <c r="AD5" s="5"/>
      <c r="AG5" s="5"/>
      <c r="AJ5" s="5"/>
      <c r="AM5" s="5"/>
      <c r="AP5" s="5"/>
      <c r="AS5" s="5"/>
      <c r="AV5" s="5"/>
    </row>
    <row r="6" spans="1:48" x14ac:dyDescent="0.2">
      <c r="A6" s="2" t="s">
        <v>4</v>
      </c>
      <c r="B6" s="2" t="s">
        <v>78</v>
      </c>
      <c r="C6" s="9">
        <v>110.72373380000001</v>
      </c>
      <c r="D6" s="9">
        <v>113.26230929</v>
      </c>
      <c r="E6" s="9">
        <v>109.3866311</v>
      </c>
      <c r="F6" s="9">
        <v>143.93217910000001</v>
      </c>
      <c r="G6" s="9">
        <v>169.02728332000001</v>
      </c>
      <c r="H6" s="9">
        <v>148.09010000000001</v>
      </c>
      <c r="I6" s="9">
        <v>121.4447</v>
      </c>
      <c r="J6" s="9">
        <v>128.715</v>
      </c>
      <c r="K6" s="9">
        <v>129.66879047</v>
      </c>
      <c r="L6" s="9">
        <v>102.9217</v>
      </c>
      <c r="M6" s="9">
        <v>103.556</v>
      </c>
      <c r="N6" s="9">
        <v>105.44070000000001</v>
      </c>
      <c r="O6" s="9">
        <v>44.033335700000002</v>
      </c>
      <c r="P6" s="9">
        <v>42.621273199999997</v>
      </c>
      <c r="Q6" s="9">
        <v>36.057335199999997</v>
      </c>
      <c r="R6" s="9">
        <v>21.663476240000001</v>
      </c>
      <c r="S6" s="9">
        <v>21.072704130000002</v>
      </c>
      <c r="T6" s="9">
        <v>21.33643227</v>
      </c>
      <c r="U6" s="9">
        <v>17.14466298</v>
      </c>
      <c r="V6" s="9">
        <v>14.661221100000001</v>
      </c>
      <c r="W6" s="9">
        <v>16.580715739999999</v>
      </c>
      <c r="X6" s="9">
        <v>47.046473499999998</v>
      </c>
      <c r="Y6" s="9">
        <v>40.926272900000001</v>
      </c>
      <c r="Z6" s="9">
        <v>40.265914500000001</v>
      </c>
      <c r="AA6" s="5"/>
      <c r="AD6" s="5"/>
      <c r="AG6" s="5"/>
      <c r="AJ6" s="5"/>
      <c r="AM6" s="5"/>
      <c r="AP6" s="5"/>
      <c r="AS6" s="5"/>
      <c r="AV6" s="5"/>
    </row>
    <row r="7" spans="1:48" x14ac:dyDescent="0.2">
      <c r="A7" s="2" t="s">
        <v>19</v>
      </c>
      <c r="B7" s="2" t="s">
        <v>78</v>
      </c>
      <c r="C7" s="9">
        <v>7.1264317500000001</v>
      </c>
      <c r="D7" s="9">
        <v>6.8552321899999997</v>
      </c>
      <c r="E7" s="9">
        <v>7.2463308800000004</v>
      </c>
      <c r="F7" s="9">
        <v>9.2994133399999992</v>
      </c>
      <c r="G7" s="9">
        <v>9.9544972499999993</v>
      </c>
      <c r="H7" s="9">
        <v>10.872159999999999</v>
      </c>
      <c r="I7" s="9">
        <v>2.0278900000000002</v>
      </c>
      <c r="J7" s="9">
        <v>2.431209</v>
      </c>
      <c r="K7" s="9">
        <v>1.8288580299999999</v>
      </c>
      <c r="L7" s="9">
        <v>13.43609</v>
      </c>
      <c r="M7" s="9">
        <v>12.48488</v>
      </c>
      <c r="N7" s="9">
        <v>14.028779999999999</v>
      </c>
      <c r="O7" s="9">
        <v>11.333527999999999</v>
      </c>
      <c r="P7" s="9">
        <v>10.0041423</v>
      </c>
      <c r="Q7" s="9">
        <v>7.8754634000000001</v>
      </c>
      <c r="R7" s="9">
        <v>1.2236841199999999</v>
      </c>
      <c r="S7" s="9">
        <v>1.6967556800000001</v>
      </c>
      <c r="T7" s="9">
        <v>1.71217018</v>
      </c>
      <c r="U7" s="9">
        <v>0.47375476999999999</v>
      </c>
      <c r="V7" s="9">
        <v>1.0074590000000001</v>
      </c>
      <c r="W7" s="9">
        <v>0.92278775999999996</v>
      </c>
      <c r="X7" s="9">
        <v>4.3883660999999998</v>
      </c>
      <c r="Y7" s="9">
        <v>2.9528992999999999</v>
      </c>
      <c r="Z7" s="9">
        <v>2.5674147</v>
      </c>
      <c r="AA7" s="5"/>
      <c r="AD7" s="5"/>
      <c r="AG7" s="5"/>
      <c r="AJ7" s="5"/>
      <c r="AM7" s="5"/>
      <c r="AP7" s="5"/>
      <c r="AS7" s="5"/>
      <c r="AV7" s="5"/>
    </row>
    <row r="8" spans="1:48" x14ac:dyDescent="0.2">
      <c r="A8" s="2" t="s">
        <v>28</v>
      </c>
      <c r="B8" s="2" t="s">
        <v>78</v>
      </c>
      <c r="C8" s="9">
        <v>0.26018269999999999</v>
      </c>
      <c r="D8" s="9">
        <v>0.32763613000000003</v>
      </c>
      <c r="E8" s="9">
        <v>0.33582888999999999</v>
      </c>
      <c r="F8" s="9">
        <v>7.9354160000000007E-2</v>
      </c>
      <c r="G8" s="9">
        <v>0.18092939</v>
      </c>
      <c r="H8" s="9">
        <v>9.9727029999999994E-3</v>
      </c>
      <c r="I8" s="9">
        <v>0.2227643</v>
      </c>
      <c r="J8" s="9">
        <v>0.30972040000000001</v>
      </c>
      <c r="K8" s="9">
        <v>0.18401207999999999</v>
      </c>
      <c r="L8" s="9">
        <v>6.1688949999999999E-2</v>
      </c>
      <c r="M8" s="9">
        <v>7.1412530000000002E-2</v>
      </c>
      <c r="N8" s="9">
        <v>4.2483720000000003E-2</v>
      </c>
      <c r="O8" s="9">
        <v>3.4243006999999999</v>
      </c>
      <c r="P8" s="9">
        <v>3.0525973</v>
      </c>
      <c r="Q8" s="9">
        <v>1.5544424999999999</v>
      </c>
      <c r="R8" s="9">
        <v>0.61796466000000005</v>
      </c>
      <c r="S8" s="9">
        <v>0.62682766999999995</v>
      </c>
      <c r="T8" s="9">
        <v>0.27694083000000003</v>
      </c>
      <c r="U8" s="9">
        <v>0.71900816999999995</v>
      </c>
      <c r="V8" s="9">
        <v>0.93084310000000003</v>
      </c>
      <c r="W8" s="9">
        <v>0.62917825999999999</v>
      </c>
      <c r="X8" s="9">
        <v>17.264553299999999</v>
      </c>
      <c r="Y8" s="9">
        <v>9.6288430999999992</v>
      </c>
      <c r="Z8" s="9">
        <v>9.7148401</v>
      </c>
      <c r="AA8" s="5"/>
      <c r="AD8" s="5"/>
      <c r="AG8" s="5"/>
      <c r="AJ8" s="5"/>
      <c r="AM8" s="5"/>
      <c r="AP8" s="5"/>
      <c r="AS8" s="5"/>
      <c r="AV8" s="5"/>
    </row>
    <row r="9" spans="1:48" x14ac:dyDescent="0.2">
      <c r="A9" s="2" t="s">
        <v>36</v>
      </c>
      <c r="B9" s="2" t="s">
        <v>169</v>
      </c>
      <c r="C9" s="9">
        <v>22.658525740000002</v>
      </c>
      <c r="D9" s="9">
        <v>23.50560501</v>
      </c>
      <c r="E9" s="9">
        <v>22.66391561</v>
      </c>
      <c r="F9" s="9">
        <v>6.21659439</v>
      </c>
      <c r="G9" s="9">
        <v>7.1970274600000002</v>
      </c>
      <c r="H9" s="9">
        <v>7.4967319999999997</v>
      </c>
      <c r="I9" s="9">
        <v>11.404450000000001</v>
      </c>
      <c r="J9" s="9">
        <v>16.251899999999999</v>
      </c>
      <c r="K9" s="9">
        <v>13.69577786</v>
      </c>
      <c r="L9" s="9">
        <v>11.35979</v>
      </c>
      <c r="M9" s="9">
        <v>14.035830000000001</v>
      </c>
      <c r="N9" s="9">
        <v>12.88222</v>
      </c>
      <c r="O9" s="9">
        <v>37.087865800000003</v>
      </c>
      <c r="P9" s="9">
        <v>33.027153900000002</v>
      </c>
      <c r="Q9" s="9">
        <v>24.8611997</v>
      </c>
      <c r="R9" s="9">
        <v>9.2559974799999996</v>
      </c>
      <c r="S9" s="9">
        <v>9.0174190700000008</v>
      </c>
      <c r="T9" s="9">
        <v>8.8929316000000007</v>
      </c>
      <c r="U9" s="9">
        <v>7.8392050199999996</v>
      </c>
      <c r="V9" s="9">
        <v>7.3145663000000001</v>
      </c>
      <c r="W9" s="9">
        <v>8.7903917000000007</v>
      </c>
      <c r="X9" s="9">
        <v>7.7144823000000002</v>
      </c>
      <c r="Y9" s="9">
        <v>16.934123499999998</v>
      </c>
      <c r="Z9" s="9">
        <v>17.262898400000001</v>
      </c>
      <c r="AA9" s="5"/>
      <c r="AD9" s="5"/>
      <c r="AG9" s="5"/>
      <c r="AJ9" s="5"/>
      <c r="AM9" s="5"/>
      <c r="AP9" s="5"/>
      <c r="AS9" s="5"/>
      <c r="AV9" s="5"/>
    </row>
    <row r="10" spans="1:48" x14ac:dyDescent="0.2">
      <c r="A10" s="2" t="s">
        <v>8</v>
      </c>
      <c r="B10" s="2" t="s">
        <v>169</v>
      </c>
      <c r="C10" s="9">
        <v>7.8410437799999997</v>
      </c>
      <c r="D10" s="9">
        <v>8.0136794899999995</v>
      </c>
      <c r="E10" s="9">
        <v>7.6606504099999997</v>
      </c>
      <c r="F10" s="9">
        <v>4.0152335299999997</v>
      </c>
      <c r="G10" s="9">
        <v>4.3184124400000004</v>
      </c>
      <c r="H10" s="9">
        <v>5.4627480000000004</v>
      </c>
      <c r="I10" s="9">
        <v>5.6825390000000002</v>
      </c>
      <c r="J10" s="9">
        <v>10.30315</v>
      </c>
      <c r="K10" s="9">
        <v>8.0209575300000004</v>
      </c>
      <c r="L10" s="9">
        <v>9.3002409999999998</v>
      </c>
      <c r="M10" s="9">
        <v>11.25334</v>
      </c>
      <c r="N10" s="9">
        <v>10.714460000000001</v>
      </c>
      <c r="O10" s="9">
        <v>4.5737692000000001</v>
      </c>
      <c r="P10" s="9">
        <v>3.1664566000000001</v>
      </c>
      <c r="Q10" s="9">
        <v>2.0666945000000001</v>
      </c>
      <c r="R10" s="9">
        <v>0.65091564999999996</v>
      </c>
      <c r="S10" s="9">
        <v>0.60106585999999995</v>
      </c>
      <c r="T10" s="9">
        <v>0.62009943999999995</v>
      </c>
      <c r="U10" s="9">
        <v>0.54823122999999996</v>
      </c>
      <c r="V10" s="9">
        <v>0.3215208</v>
      </c>
      <c r="W10" s="9">
        <v>0.44404179999999999</v>
      </c>
      <c r="X10" s="9">
        <v>0.46722360000000002</v>
      </c>
      <c r="Y10" s="9">
        <v>1.0014908</v>
      </c>
      <c r="Z10" s="9">
        <v>1.0500559</v>
      </c>
      <c r="AA10" s="5"/>
      <c r="AD10" s="5"/>
      <c r="AG10" s="5"/>
      <c r="AJ10" s="5"/>
      <c r="AM10" s="5"/>
      <c r="AP10" s="5"/>
      <c r="AS10" s="5"/>
      <c r="AV10" s="5"/>
    </row>
    <row r="11" spans="1:48" x14ac:dyDescent="0.2">
      <c r="A11" s="2" t="s">
        <v>9</v>
      </c>
      <c r="B11" s="2" t="s">
        <v>169</v>
      </c>
      <c r="C11" s="9">
        <v>3.0437953499999999</v>
      </c>
      <c r="D11" s="9">
        <v>2.9125748599999999</v>
      </c>
      <c r="E11" s="9">
        <v>3.0362008700000001</v>
      </c>
      <c r="F11" s="9">
        <v>0.36007582999999999</v>
      </c>
      <c r="G11" s="9">
        <v>0.56103391999999996</v>
      </c>
      <c r="H11" s="9">
        <v>0.26154579999999999</v>
      </c>
      <c r="I11" s="9">
        <v>0.54601690000000003</v>
      </c>
      <c r="J11" s="9">
        <v>0.41076760000000001</v>
      </c>
      <c r="K11" s="9">
        <v>0.48402388000000002</v>
      </c>
      <c r="L11" s="9">
        <v>0.10255880000000001</v>
      </c>
      <c r="M11" s="9">
        <v>5.895537E-2</v>
      </c>
      <c r="N11" s="9">
        <v>7.3476029999999998E-2</v>
      </c>
      <c r="O11" s="9">
        <v>15.073364700000001</v>
      </c>
      <c r="P11" s="9">
        <v>11.4644587</v>
      </c>
      <c r="Q11" s="9">
        <v>9.6423725000000005</v>
      </c>
      <c r="R11" s="9">
        <v>3.6271931300000002</v>
      </c>
      <c r="S11" s="9">
        <v>4.2327049900000002</v>
      </c>
      <c r="T11" s="9">
        <v>3.77722756</v>
      </c>
      <c r="U11" s="9">
        <v>4.4063779500000004</v>
      </c>
      <c r="V11" s="9">
        <v>4.1732468999999996</v>
      </c>
      <c r="W11" s="9">
        <v>4.6317645299999999</v>
      </c>
      <c r="X11" s="9">
        <v>4.9846333999999999</v>
      </c>
      <c r="Y11" s="9">
        <v>12.458067399999999</v>
      </c>
      <c r="Z11" s="9">
        <v>15.0518623</v>
      </c>
      <c r="AA11" s="5"/>
      <c r="AD11" s="5"/>
      <c r="AG11" s="5"/>
      <c r="AJ11" s="5"/>
      <c r="AM11" s="5"/>
      <c r="AP11" s="5"/>
      <c r="AS11" s="5"/>
      <c r="AV11" s="5"/>
    </row>
    <row r="12" spans="1:48" x14ac:dyDescent="0.2">
      <c r="A12" s="2" t="s">
        <v>10</v>
      </c>
      <c r="B12" s="2" t="s">
        <v>169</v>
      </c>
      <c r="C12" s="9">
        <v>8.3796723100000001</v>
      </c>
      <c r="D12" s="9">
        <v>8.5325434799999993</v>
      </c>
      <c r="E12" s="9">
        <v>8.2268110799999992</v>
      </c>
      <c r="F12" s="9">
        <v>1.16454704</v>
      </c>
      <c r="G12" s="9">
        <v>1.3009056299999999</v>
      </c>
      <c r="H12" s="9">
        <v>1.1374109999999999</v>
      </c>
      <c r="I12" s="9">
        <v>4.8968389999999999</v>
      </c>
      <c r="J12" s="9">
        <v>4.4599960000000003</v>
      </c>
      <c r="K12" s="9">
        <v>5.0165091400000001</v>
      </c>
      <c r="L12" s="9">
        <v>0.35832239999999999</v>
      </c>
      <c r="M12" s="9">
        <v>0.2326442</v>
      </c>
      <c r="N12" s="9">
        <v>0.1640644</v>
      </c>
      <c r="O12" s="9">
        <v>11.1004199</v>
      </c>
      <c r="P12" s="9">
        <v>10.968366400000001</v>
      </c>
      <c r="Q12" s="9">
        <v>8.6282958000000001</v>
      </c>
      <c r="R12" s="9">
        <v>1.8620803100000001</v>
      </c>
      <c r="S12" s="9">
        <v>1.8689685899999999</v>
      </c>
      <c r="T12" s="9">
        <v>1.81637128</v>
      </c>
      <c r="U12" s="9">
        <v>1.5340598700000001</v>
      </c>
      <c r="V12" s="9">
        <v>1.0567325000000001</v>
      </c>
      <c r="W12" s="9">
        <v>1.83118563</v>
      </c>
      <c r="X12" s="9">
        <v>0.92106259999999995</v>
      </c>
      <c r="Y12" s="9">
        <v>1.9385896</v>
      </c>
      <c r="Z12" s="9">
        <v>1.0175803999999999</v>
      </c>
      <c r="AA12" s="5"/>
      <c r="AD12" s="5"/>
      <c r="AG12" s="5"/>
      <c r="AJ12" s="5"/>
      <c r="AM12" s="5"/>
      <c r="AP12" s="5"/>
      <c r="AS12" s="5"/>
      <c r="AV12" s="5"/>
    </row>
    <row r="13" spans="1:48" x14ac:dyDescent="0.2">
      <c r="A13" s="2" t="s">
        <v>11</v>
      </c>
      <c r="B13" s="2" t="s">
        <v>169</v>
      </c>
      <c r="C13" s="9">
        <v>9.5677139999999994E-2</v>
      </c>
      <c r="D13" s="9">
        <v>5.5702939999999999E-2</v>
      </c>
      <c r="E13" s="9">
        <v>2.7940179999999998E-2</v>
      </c>
      <c r="F13" s="9">
        <v>1.7004760000000001E-2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1.2594517000000001</v>
      </c>
      <c r="P13" s="9">
        <v>1.3698216000000001</v>
      </c>
      <c r="Q13" s="9">
        <v>0.4755878</v>
      </c>
      <c r="R13" s="9">
        <v>0.46775178000000001</v>
      </c>
      <c r="S13" s="9">
        <v>7.4221640000000005E-2</v>
      </c>
      <c r="T13" s="9">
        <v>0.14555771000000001</v>
      </c>
      <c r="U13" s="9">
        <v>7.2180670000000002E-2</v>
      </c>
      <c r="V13" s="9">
        <v>0.35434779999999999</v>
      </c>
      <c r="W13" s="9">
        <v>0.17388165999999999</v>
      </c>
      <c r="X13" s="9">
        <v>0</v>
      </c>
      <c r="Y13" s="9">
        <v>0</v>
      </c>
      <c r="Z13" s="9">
        <v>0</v>
      </c>
      <c r="AA13" s="5"/>
      <c r="AD13" s="5"/>
      <c r="AG13" s="5"/>
      <c r="AJ13" s="5"/>
      <c r="AM13" s="5"/>
      <c r="AP13" s="5"/>
      <c r="AS13" s="5"/>
      <c r="AV13" s="5"/>
    </row>
    <row r="14" spans="1:48" x14ac:dyDescent="0.2">
      <c r="A14" s="2" t="s">
        <v>12</v>
      </c>
      <c r="B14" s="2" t="s">
        <v>169</v>
      </c>
      <c r="C14" s="9">
        <v>0.43488458000000002</v>
      </c>
      <c r="D14" s="9">
        <v>0.55623917</v>
      </c>
      <c r="E14" s="9">
        <v>0.35364469999999998</v>
      </c>
      <c r="F14" s="9">
        <v>2.3689379999999999E-2</v>
      </c>
      <c r="G14" s="9">
        <v>0.11210542</v>
      </c>
      <c r="H14" s="9">
        <v>0</v>
      </c>
      <c r="I14" s="9">
        <v>0.19214629999999999</v>
      </c>
      <c r="J14" s="9">
        <v>0.1603012</v>
      </c>
      <c r="K14" s="9">
        <v>0.11269912999999999</v>
      </c>
      <c r="L14" s="9">
        <v>1.5949700000000001E-2</v>
      </c>
      <c r="M14" s="9">
        <v>8.2611850000000007E-3</v>
      </c>
      <c r="N14" s="9">
        <v>1.114149E-2</v>
      </c>
      <c r="O14" s="9">
        <v>3.7441702000000001</v>
      </c>
      <c r="P14" s="9">
        <v>4.3380174</v>
      </c>
      <c r="Q14" s="9">
        <v>2.3218513999999999</v>
      </c>
      <c r="R14" s="9">
        <v>0.10535951</v>
      </c>
      <c r="S14" s="9">
        <v>0.15661342</v>
      </c>
      <c r="T14" s="9">
        <v>0.23065921</v>
      </c>
      <c r="U14" s="9">
        <v>8.7195499999999995E-2</v>
      </c>
      <c r="V14" s="9">
        <v>0.1868853</v>
      </c>
      <c r="W14" s="9">
        <v>0</v>
      </c>
      <c r="X14" s="9">
        <v>0</v>
      </c>
      <c r="Y14" s="9">
        <v>0.75165780000000004</v>
      </c>
      <c r="Z14" s="9">
        <v>0</v>
      </c>
      <c r="AA14" s="5"/>
      <c r="AD14" s="5"/>
      <c r="AG14" s="5"/>
      <c r="AJ14" s="5"/>
      <c r="AM14" s="5"/>
      <c r="AP14" s="5"/>
      <c r="AS14" s="5"/>
      <c r="AV14" s="5"/>
    </row>
    <row r="15" spans="1:48" x14ac:dyDescent="0.2">
      <c r="A15" s="2" t="s">
        <v>13</v>
      </c>
      <c r="B15" s="2" t="s">
        <v>169</v>
      </c>
      <c r="C15" s="9">
        <v>2.4046007700000001</v>
      </c>
      <c r="D15" s="9">
        <v>2.99538561</v>
      </c>
      <c r="E15" s="9">
        <v>2.9522863899999998</v>
      </c>
      <c r="F15" s="9">
        <v>0.17368786</v>
      </c>
      <c r="G15" s="9">
        <v>0.21870961</v>
      </c>
      <c r="H15" s="9">
        <v>0.14868899999999999</v>
      </c>
      <c r="I15" s="9">
        <v>3.5258900000000003E-2</v>
      </c>
      <c r="J15" s="9">
        <v>3.2704869999999997E-2</v>
      </c>
      <c r="K15" s="9">
        <v>1.3108160000000001E-2</v>
      </c>
      <c r="L15" s="9">
        <v>5.1590810000000003E-3</v>
      </c>
      <c r="M15" s="9">
        <v>1.219131E-3</v>
      </c>
      <c r="N15" s="9">
        <v>4.8854620000000001E-3</v>
      </c>
      <c r="O15" s="9">
        <v>0.91949559999999997</v>
      </c>
      <c r="P15" s="9">
        <v>1.3591517</v>
      </c>
      <c r="Q15" s="9">
        <v>1.2429679</v>
      </c>
      <c r="R15" s="9">
        <v>1.02041782</v>
      </c>
      <c r="S15" s="9">
        <v>1.0107089199999999</v>
      </c>
      <c r="T15" s="9">
        <v>1.20981224</v>
      </c>
      <c r="U15" s="9">
        <v>0.72368913000000001</v>
      </c>
      <c r="V15" s="9">
        <v>0.6362333</v>
      </c>
      <c r="W15" s="9">
        <v>0.83750846000000001</v>
      </c>
      <c r="X15" s="9">
        <v>0.46054260000000002</v>
      </c>
      <c r="Y15" s="9">
        <v>0.53935770000000005</v>
      </c>
      <c r="Z15" s="9">
        <v>0.14339979999999999</v>
      </c>
      <c r="AA15" s="5"/>
      <c r="AD15" s="5"/>
      <c r="AG15" s="5"/>
      <c r="AJ15" s="5"/>
      <c r="AM15" s="5"/>
      <c r="AP15" s="5"/>
      <c r="AS15" s="5"/>
      <c r="AV15" s="5"/>
    </row>
    <row r="16" spans="1:48" x14ac:dyDescent="0.2">
      <c r="A16" s="2" t="s">
        <v>14</v>
      </c>
      <c r="B16" s="2" t="s">
        <v>169</v>
      </c>
      <c r="C16" s="9">
        <v>0.45885181000000003</v>
      </c>
      <c r="D16" s="9">
        <v>0.43947945999999999</v>
      </c>
      <c r="E16" s="9">
        <v>0.40638197999999998</v>
      </c>
      <c r="F16" s="9">
        <v>0.46235598999999999</v>
      </c>
      <c r="G16" s="9">
        <v>0.68586044000000002</v>
      </c>
      <c r="H16" s="9">
        <v>0.48633850000000001</v>
      </c>
      <c r="I16" s="9">
        <v>5.1653980000000002E-2</v>
      </c>
      <c r="J16" s="9">
        <v>0.8849747</v>
      </c>
      <c r="K16" s="9">
        <v>4.8480009999999997E-2</v>
      </c>
      <c r="L16" s="9">
        <v>1.5775589999999999</v>
      </c>
      <c r="M16" s="9">
        <v>2.4814159999999998</v>
      </c>
      <c r="N16" s="9">
        <v>1.9141969999999999</v>
      </c>
      <c r="O16" s="9">
        <v>0.41719450000000002</v>
      </c>
      <c r="P16" s="9">
        <v>0.36088150000000002</v>
      </c>
      <c r="Q16" s="9">
        <v>0.48342980000000002</v>
      </c>
      <c r="R16" s="9">
        <v>1.52227928</v>
      </c>
      <c r="S16" s="9">
        <v>1.07313565</v>
      </c>
      <c r="T16" s="9">
        <v>1.09320416</v>
      </c>
      <c r="U16" s="9">
        <v>0.46747065999999998</v>
      </c>
      <c r="V16" s="9">
        <v>0.58559969999999995</v>
      </c>
      <c r="W16" s="9">
        <v>0.87200962000000004</v>
      </c>
      <c r="X16" s="9">
        <v>0.88102009999999997</v>
      </c>
      <c r="Y16" s="9">
        <v>0.24496000000000001</v>
      </c>
      <c r="Z16" s="9">
        <v>0</v>
      </c>
      <c r="AA16" s="5"/>
      <c r="AD16" s="5"/>
      <c r="AG16" s="5"/>
      <c r="AJ16" s="5"/>
      <c r="AM16" s="5"/>
      <c r="AP16" s="5"/>
      <c r="AS16" s="5"/>
      <c r="AV16" s="5"/>
    </row>
    <row r="17" spans="1:48" x14ac:dyDescent="0.2">
      <c r="A17" s="2" t="s">
        <v>15</v>
      </c>
      <c r="B17" s="2" t="s">
        <v>170</v>
      </c>
      <c r="C17" s="9">
        <v>30.586279650000002</v>
      </c>
      <c r="D17" s="9">
        <v>31.28513572</v>
      </c>
      <c r="E17" s="9">
        <v>30.860394899999999</v>
      </c>
      <c r="F17" s="9">
        <v>109.53604012</v>
      </c>
      <c r="G17" s="9">
        <v>108.9235645</v>
      </c>
      <c r="H17" s="9">
        <v>115.54940000000001</v>
      </c>
      <c r="I17" s="9">
        <v>36.853949999999998</v>
      </c>
      <c r="J17" s="9">
        <v>33.940049999999999</v>
      </c>
      <c r="K17" s="9">
        <v>35.122668169999997</v>
      </c>
      <c r="L17" s="9">
        <v>30.81148</v>
      </c>
      <c r="M17" s="9">
        <v>30.885390000000001</v>
      </c>
      <c r="N17" s="9">
        <v>29.03903</v>
      </c>
      <c r="O17" s="9">
        <v>65.2032533</v>
      </c>
      <c r="P17" s="9">
        <v>61.682314099999999</v>
      </c>
      <c r="Q17" s="9">
        <v>52.775304800000001</v>
      </c>
      <c r="R17" s="9">
        <v>25.78099868</v>
      </c>
      <c r="S17" s="9">
        <v>26.822544109999999</v>
      </c>
      <c r="T17" s="9">
        <v>24.256417689999999</v>
      </c>
      <c r="U17" s="9">
        <v>18.09783659</v>
      </c>
      <c r="V17" s="9">
        <v>16.073464099999999</v>
      </c>
      <c r="W17" s="9">
        <v>17.54929705</v>
      </c>
      <c r="X17" s="9">
        <v>69.625440800000007</v>
      </c>
      <c r="Y17" s="9">
        <v>79.015029499999997</v>
      </c>
      <c r="Z17" s="9">
        <v>81.302477400000001</v>
      </c>
      <c r="AA17" s="5"/>
      <c r="AD17" s="5"/>
      <c r="AG17" s="5"/>
      <c r="AJ17" s="5"/>
      <c r="AM17" s="5"/>
      <c r="AP17" s="5"/>
      <c r="AS17" s="5"/>
      <c r="AV17" s="5"/>
    </row>
    <row r="18" spans="1:48" x14ac:dyDescent="0.2">
      <c r="A18" s="2" t="s">
        <v>2</v>
      </c>
      <c r="B18" s="2" t="s">
        <v>77</v>
      </c>
      <c r="C18" s="9">
        <v>31.738526960000002</v>
      </c>
      <c r="D18" s="9">
        <v>32.017435919999997</v>
      </c>
      <c r="E18" s="9">
        <v>31.77789134</v>
      </c>
      <c r="F18" s="9">
        <v>35.243855410000002</v>
      </c>
      <c r="G18" s="9">
        <v>34.654351470000002</v>
      </c>
      <c r="H18" s="9">
        <v>45.231789999999997</v>
      </c>
      <c r="I18" s="9">
        <v>37.385359999999999</v>
      </c>
      <c r="J18" s="9">
        <v>44.491700000000002</v>
      </c>
      <c r="K18" s="9">
        <v>42.34172401</v>
      </c>
      <c r="L18" s="9">
        <v>36.210810000000002</v>
      </c>
      <c r="M18" s="9">
        <v>38.056739999999998</v>
      </c>
      <c r="N18" s="9">
        <v>35.179400000000001</v>
      </c>
      <c r="O18" s="9">
        <v>43.004424200000003</v>
      </c>
      <c r="P18" s="9">
        <v>38.861410900000003</v>
      </c>
      <c r="Q18" s="9">
        <v>38.575523400000002</v>
      </c>
      <c r="R18" s="9">
        <v>32.817370910000001</v>
      </c>
      <c r="S18" s="9">
        <v>35.228555200000002</v>
      </c>
      <c r="T18" s="9">
        <v>32.297747309999998</v>
      </c>
      <c r="U18" s="9">
        <v>27.795489960000001</v>
      </c>
      <c r="V18" s="9">
        <v>27.6340395</v>
      </c>
      <c r="W18" s="9">
        <v>28.598105409999999</v>
      </c>
      <c r="X18" s="9">
        <v>95.272718999999995</v>
      </c>
      <c r="Y18" s="9">
        <v>105.096721</v>
      </c>
      <c r="Z18" s="9">
        <v>100.152297</v>
      </c>
      <c r="AA18" s="5"/>
      <c r="AD18" s="5"/>
      <c r="AG18" s="5"/>
      <c r="AJ18" s="5"/>
      <c r="AM18" s="5"/>
      <c r="AP18" s="5"/>
      <c r="AS18" s="5"/>
      <c r="AV18" s="5"/>
    </row>
    <row r="19" spans="1:48" x14ac:dyDescent="0.2">
      <c r="A19" s="2" t="s">
        <v>3</v>
      </c>
      <c r="B19" s="2" t="s">
        <v>77</v>
      </c>
      <c r="C19" s="9">
        <v>18.966634190000001</v>
      </c>
      <c r="D19" s="9">
        <v>20.078501150000001</v>
      </c>
      <c r="E19" s="9">
        <v>19.081049449999998</v>
      </c>
      <c r="F19" s="9">
        <v>4.63748395</v>
      </c>
      <c r="G19" s="9">
        <v>5.4717133899999997</v>
      </c>
      <c r="H19" s="9">
        <v>7.4606899999999996</v>
      </c>
      <c r="I19" s="9">
        <v>15.37271</v>
      </c>
      <c r="J19" s="9">
        <v>16.641369999999998</v>
      </c>
      <c r="K19" s="9">
        <v>16.3175135</v>
      </c>
      <c r="L19" s="9">
        <v>1.4856659999999999</v>
      </c>
      <c r="M19" s="9">
        <v>1.751881</v>
      </c>
      <c r="N19" s="9">
        <v>1.1404069999999999</v>
      </c>
      <c r="O19" s="9">
        <v>11.7041244</v>
      </c>
      <c r="P19" s="9">
        <v>8.5027053000000006</v>
      </c>
      <c r="Q19" s="9">
        <v>7.4834189999999996</v>
      </c>
      <c r="R19" s="9">
        <v>6.10098524</v>
      </c>
      <c r="S19" s="9">
        <v>7.6697424500000002</v>
      </c>
      <c r="T19" s="9">
        <v>6.2943605199999997</v>
      </c>
      <c r="U19" s="9">
        <v>6.6270646800000002</v>
      </c>
      <c r="V19" s="9">
        <v>6.2293506000000001</v>
      </c>
      <c r="W19" s="9">
        <v>6.26585971</v>
      </c>
      <c r="X19" s="9">
        <v>5.0394227000000003</v>
      </c>
      <c r="Y19" s="9">
        <v>3.3534856999999998</v>
      </c>
      <c r="Z19" s="9">
        <v>6.6126357999999996</v>
      </c>
      <c r="AA19" s="5"/>
      <c r="AD19" s="5"/>
      <c r="AG19" s="5"/>
      <c r="AJ19" s="5"/>
      <c r="AM19" s="5"/>
      <c r="AP19" s="5"/>
      <c r="AS19" s="5"/>
      <c r="AV19" s="5"/>
    </row>
    <row r="20" spans="1:48" x14ac:dyDescent="0.2">
      <c r="A20" s="2" t="s">
        <v>5</v>
      </c>
      <c r="B20" s="2" t="s">
        <v>77</v>
      </c>
      <c r="C20" s="9">
        <v>35.071635790000002</v>
      </c>
      <c r="D20" s="9">
        <v>35.531075899999998</v>
      </c>
      <c r="E20" s="9">
        <v>35.392988649999999</v>
      </c>
      <c r="F20" s="9">
        <v>16.580602930000001</v>
      </c>
      <c r="G20" s="9">
        <v>18.591140320000001</v>
      </c>
      <c r="H20" s="9">
        <v>20.95185</v>
      </c>
      <c r="I20" s="9">
        <v>54.703969999999998</v>
      </c>
      <c r="J20" s="9">
        <v>54.455719999999999</v>
      </c>
      <c r="K20" s="9">
        <v>54.860054730000002</v>
      </c>
      <c r="L20" s="9">
        <v>39.980130000000003</v>
      </c>
      <c r="M20" s="9">
        <v>45.081400000000002</v>
      </c>
      <c r="N20" s="9">
        <v>38.791229999999999</v>
      </c>
      <c r="O20" s="9">
        <v>53.261586600000001</v>
      </c>
      <c r="P20" s="9">
        <v>46.990679800000002</v>
      </c>
      <c r="Q20" s="9">
        <v>34.924366900000003</v>
      </c>
      <c r="R20" s="9">
        <v>12.198178990000001</v>
      </c>
      <c r="S20" s="9">
        <v>12.24003366</v>
      </c>
      <c r="T20" s="9">
        <v>11.814151649999999</v>
      </c>
      <c r="U20" s="9">
        <v>9.1278383200000004</v>
      </c>
      <c r="V20" s="9">
        <v>8.2255918000000001</v>
      </c>
      <c r="W20" s="9">
        <v>8.4769866900000004</v>
      </c>
      <c r="X20" s="9">
        <v>22.210395699999999</v>
      </c>
      <c r="Y20" s="9">
        <v>20.457356300000001</v>
      </c>
      <c r="Z20" s="9">
        <v>17.017764</v>
      </c>
      <c r="AA20" s="5"/>
      <c r="AD20" s="5"/>
      <c r="AG20" s="5"/>
      <c r="AJ20" s="5"/>
      <c r="AM20" s="5"/>
      <c r="AP20" s="5"/>
      <c r="AS20" s="5"/>
      <c r="AV20" s="5"/>
    </row>
    <row r="21" spans="1:48" x14ac:dyDescent="0.2">
      <c r="A21" s="2" t="s">
        <v>6</v>
      </c>
      <c r="B21" s="2" t="s">
        <v>77</v>
      </c>
      <c r="C21" s="9">
        <v>7.3681660400000002</v>
      </c>
      <c r="D21" s="9">
        <v>6.8678815599999998</v>
      </c>
      <c r="E21" s="9">
        <v>7.1285300999999999</v>
      </c>
      <c r="F21" s="9">
        <v>1.9015633700000001</v>
      </c>
      <c r="G21" s="9">
        <v>1.95588673</v>
      </c>
      <c r="H21" s="9">
        <v>2.4433699999999998</v>
      </c>
      <c r="I21" s="9">
        <v>26.166119999999999</v>
      </c>
      <c r="J21" s="9">
        <v>36.757489999999997</v>
      </c>
      <c r="K21" s="9">
        <v>31.185174379999999</v>
      </c>
      <c r="L21" s="9">
        <v>12.46899</v>
      </c>
      <c r="M21" s="9">
        <v>14.603479999999999</v>
      </c>
      <c r="N21" s="9">
        <v>12.93839</v>
      </c>
      <c r="O21" s="9">
        <v>7.1868356000000002</v>
      </c>
      <c r="P21" s="9">
        <v>5.9114212000000004</v>
      </c>
      <c r="Q21" s="9">
        <v>4.4907143999999999</v>
      </c>
      <c r="R21" s="9">
        <v>3.0755555299999999</v>
      </c>
      <c r="S21" s="9">
        <v>2.8248527399999999</v>
      </c>
      <c r="T21" s="9">
        <v>2.9252005400000001</v>
      </c>
      <c r="U21" s="9">
        <v>2.7061662499999999</v>
      </c>
      <c r="V21" s="9">
        <v>2.333755</v>
      </c>
      <c r="W21" s="9">
        <v>3.32330652</v>
      </c>
      <c r="X21" s="9">
        <v>7.2255830000000003</v>
      </c>
      <c r="Y21" s="9">
        <v>8.1733212999999996</v>
      </c>
      <c r="Z21" s="9">
        <v>9.8923597000000001</v>
      </c>
      <c r="AA21" s="5"/>
      <c r="AD21" s="5"/>
      <c r="AG21" s="5"/>
      <c r="AJ21" s="5"/>
      <c r="AM21" s="5"/>
      <c r="AP21" s="5"/>
      <c r="AS21" s="5"/>
      <c r="AV21" s="5"/>
    </row>
    <row r="22" spans="1:48" x14ac:dyDescent="0.2">
      <c r="A22" s="2" t="s">
        <v>7</v>
      </c>
      <c r="B22" s="2" t="s">
        <v>77</v>
      </c>
      <c r="C22" s="9">
        <v>48.713781599999997</v>
      </c>
      <c r="D22" s="9">
        <v>50.024023069999998</v>
      </c>
      <c r="E22" s="9">
        <v>48.892778239999998</v>
      </c>
      <c r="F22" s="9">
        <v>27.80510232</v>
      </c>
      <c r="G22" s="9">
        <v>29.169824009999999</v>
      </c>
      <c r="H22" s="9">
        <v>39.843449999999997</v>
      </c>
      <c r="I22" s="9">
        <v>88.081040000000002</v>
      </c>
      <c r="J22" s="9">
        <v>89.570650000000001</v>
      </c>
      <c r="K22" s="9">
        <v>90.776007250000006</v>
      </c>
      <c r="L22" s="9">
        <v>36.651649999999997</v>
      </c>
      <c r="M22" s="9">
        <v>44.435409999999997</v>
      </c>
      <c r="N22" s="9">
        <v>36.847430000000003</v>
      </c>
      <c r="O22" s="9">
        <v>43.349240899999998</v>
      </c>
      <c r="P22" s="9">
        <v>43.268342699999998</v>
      </c>
      <c r="Q22" s="9">
        <v>37.530377299999998</v>
      </c>
      <c r="R22" s="9">
        <v>21.211589750000002</v>
      </c>
      <c r="S22" s="9">
        <v>21.07069036</v>
      </c>
      <c r="T22" s="9">
        <v>21.15212889</v>
      </c>
      <c r="U22" s="9">
        <v>17.213659700000001</v>
      </c>
      <c r="V22" s="9">
        <v>17.886067000000001</v>
      </c>
      <c r="W22" s="9">
        <v>17.54978573</v>
      </c>
      <c r="X22" s="9">
        <v>118.27550359999999</v>
      </c>
      <c r="Y22" s="9">
        <v>127.6089216</v>
      </c>
      <c r="Z22" s="9">
        <v>117.0594081</v>
      </c>
      <c r="AA22" s="5"/>
      <c r="AD22" s="5"/>
      <c r="AG22" s="5"/>
      <c r="AJ22" s="5"/>
      <c r="AM22" s="5"/>
      <c r="AP22" s="5"/>
      <c r="AS22" s="5"/>
      <c r="AV22" s="5"/>
    </row>
    <row r="23" spans="1:48" x14ac:dyDescent="0.2">
      <c r="A23" s="2" t="s">
        <v>27</v>
      </c>
      <c r="B23" s="2" t="s">
        <v>77</v>
      </c>
      <c r="C23" s="9">
        <v>32.41043346</v>
      </c>
      <c r="D23" s="9">
        <v>33.75660268</v>
      </c>
      <c r="E23" s="9">
        <v>33.257154130000004</v>
      </c>
      <c r="F23" s="9">
        <v>10.795456740000001</v>
      </c>
      <c r="G23" s="9">
        <v>11.22613179</v>
      </c>
      <c r="H23" s="9">
        <v>15.61781</v>
      </c>
      <c r="I23" s="9">
        <v>38.277729999999998</v>
      </c>
      <c r="J23" s="9">
        <v>39.83211</v>
      </c>
      <c r="K23" s="9">
        <v>38.764675140000001</v>
      </c>
      <c r="L23" s="9">
        <v>26.990020000000001</v>
      </c>
      <c r="M23" s="9">
        <v>30.376819999999999</v>
      </c>
      <c r="N23" s="9">
        <v>26.323340000000002</v>
      </c>
      <c r="O23" s="9">
        <v>59.830136000000003</v>
      </c>
      <c r="P23" s="9">
        <v>61.8540572</v>
      </c>
      <c r="Q23" s="9">
        <v>50.4111154</v>
      </c>
      <c r="R23" s="9">
        <v>32.481409360000001</v>
      </c>
      <c r="S23" s="9">
        <v>30.897060620000001</v>
      </c>
      <c r="T23" s="9">
        <v>29.36371548</v>
      </c>
      <c r="U23" s="9">
        <v>24.811152759999999</v>
      </c>
      <c r="V23" s="9">
        <v>24.116229199999999</v>
      </c>
      <c r="W23" s="9">
        <v>23.58869258</v>
      </c>
      <c r="X23" s="9">
        <v>123.3591969</v>
      </c>
      <c r="Y23" s="9">
        <v>105.7872011</v>
      </c>
      <c r="Z23" s="9">
        <v>100.1154406</v>
      </c>
      <c r="AA23" s="5"/>
      <c r="AD23" s="5"/>
      <c r="AG23" s="5"/>
      <c r="AJ23" s="5"/>
      <c r="AM23" s="5"/>
      <c r="AP23" s="5"/>
      <c r="AS23" s="5"/>
      <c r="AV23" s="5"/>
    </row>
    <row r="24" spans="1:48" x14ac:dyDescent="0.2">
      <c r="A24" s="2" t="s">
        <v>1</v>
      </c>
      <c r="B24" s="2" t="s">
        <v>76</v>
      </c>
      <c r="C24" s="9">
        <v>24.412427829999999</v>
      </c>
      <c r="D24" s="9">
        <v>25.76263385</v>
      </c>
      <c r="E24" s="9">
        <v>25.425123989999999</v>
      </c>
      <c r="F24" s="9">
        <v>21.38947916</v>
      </c>
      <c r="G24" s="9">
        <v>24.868035540000001</v>
      </c>
      <c r="H24" s="9">
        <v>29.67229</v>
      </c>
      <c r="I24" s="9">
        <v>18.323029999999999</v>
      </c>
      <c r="J24" s="9">
        <v>14.611599999999999</v>
      </c>
      <c r="K24" s="9">
        <v>16.05577049</v>
      </c>
      <c r="L24" s="9">
        <v>12.75332</v>
      </c>
      <c r="M24" s="9">
        <v>15.92709</v>
      </c>
      <c r="N24" s="9">
        <v>13.327260000000001</v>
      </c>
      <c r="O24" s="9">
        <v>27.978513599999999</v>
      </c>
      <c r="P24" s="9">
        <v>26.851117200000001</v>
      </c>
      <c r="Q24" s="9">
        <v>26.0443803</v>
      </c>
      <c r="R24" s="9">
        <v>28.471625540000002</v>
      </c>
      <c r="S24" s="9">
        <v>27.445732620000001</v>
      </c>
      <c r="T24" s="9">
        <v>27.802932070000001</v>
      </c>
      <c r="U24" s="9">
        <v>29.4378767</v>
      </c>
      <c r="V24" s="9">
        <v>28.681404300000001</v>
      </c>
      <c r="W24" s="9">
        <v>28.83263664</v>
      </c>
      <c r="X24" s="9">
        <v>70.4141963</v>
      </c>
      <c r="Y24" s="9">
        <v>66.907506999999995</v>
      </c>
      <c r="Z24" s="9">
        <v>57.728299100000001</v>
      </c>
      <c r="AA24" s="5"/>
      <c r="AD24" s="5"/>
      <c r="AG24" s="5"/>
      <c r="AJ24" s="5"/>
      <c r="AM24" s="5"/>
      <c r="AP24" s="5"/>
      <c r="AS24" s="5"/>
      <c r="AV24" s="5"/>
    </row>
    <row r="25" spans="1:48" x14ac:dyDescent="0.2">
      <c r="A25" s="2" t="s">
        <v>16</v>
      </c>
      <c r="B25" s="2" t="s">
        <v>81</v>
      </c>
      <c r="C25" s="9">
        <v>21.319954750000001</v>
      </c>
      <c r="D25" s="9">
        <v>21.812757179999998</v>
      </c>
      <c r="E25" s="9">
        <v>21.758991510000001</v>
      </c>
      <c r="F25" s="9">
        <v>4.7135588300000002</v>
      </c>
      <c r="G25" s="9">
        <v>5.8568765599999999</v>
      </c>
      <c r="H25" s="9">
        <v>5.7224459999999997</v>
      </c>
      <c r="I25" s="9">
        <v>48.119770000000003</v>
      </c>
      <c r="J25" s="9">
        <v>52.597490000000001</v>
      </c>
      <c r="K25" s="9">
        <v>51.347651399999997</v>
      </c>
      <c r="L25" s="9">
        <v>3.41513</v>
      </c>
      <c r="M25" s="9">
        <v>3.5372840000000001</v>
      </c>
      <c r="N25" s="9">
        <v>2.4686490000000001</v>
      </c>
      <c r="O25" s="9">
        <v>65.3486367</v>
      </c>
      <c r="P25" s="9">
        <v>61.921555900000001</v>
      </c>
      <c r="Q25" s="9">
        <v>48.1681618</v>
      </c>
      <c r="R25" s="9">
        <v>20.09220242</v>
      </c>
      <c r="S25" s="9">
        <v>19.352416160000001</v>
      </c>
      <c r="T25" s="9">
        <v>18.271219720000001</v>
      </c>
      <c r="U25" s="9">
        <v>15.975371880000001</v>
      </c>
      <c r="V25" s="9">
        <v>14.913358199999999</v>
      </c>
      <c r="W25" s="9">
        <v>14.29002331</v>
      </c>
      <c r="X25" s="9">
        <v>15.897187300000001</v>
      </c>
      <c r="Y25" s="9">
        <v>15.7879325</v>
      </c>
      <c r="Z25" s="9">
        <v>19.997181900000001</v>
      </c>
      <c r="AA25" s="5"/>
      <c r="AD25" s="5"/>
      <c r="AG25" s="5"/>
      <c r="AJ25" s="5"/>
      <c r="AM25" s="5"/>
      <c r="AP25" s="5"/>
      <c r="AS25" s="5"/>
      <c r="AV25" s="5"/>
    </row>
    <row r="26" spans="1:48" x14ac:dyDescent="0.2">
      <c r="A26" s="2" t="s">
        <v>17</v>
      </c>
      <c r="B26" s="2" t="s">
        <v>81</v>
      </c>
      <c r="C26" s="9">
        <v>39.056334769999999</v>
      </c>
      <c r="D26" s="9">
        <v>38.618314769999998</v>
      </c>
      <c r="E26" s="9">
        <v>38.471828739999999</v>
      </c>
      <c r="F26" s="9">
        <v>61.74928628</v>
      </c>
      <c r="G26" s="9">
        <v>70.601897719999997</v>
      </c>
      <c r="H26" s="9">
        <v>85.805059999999997</v>
      </c>
      <c r="I26" s="9">
        <v>85.098519999999994</v>
      </c>
      <c r="J26" s="9">
        <v>94.633160000000004</v>
      </c>
      <c r="K26" s="9">
        <v>91.664899939999998</v>
      </c>
      <c r="L26" s="9">
        <v>31.568439999999999</v>
      </c>
      <c r="M26" s="9">
        <v>39.125480000000003</v>
      </c>
      <c r="N26" s="9">
        <v>32.668810000000001</v>
      </c>
      <c r="O26" s="9">
        <v>82.779425900000007</v>
      </c>
      <c r="P26" s="9">
        <v>77.133802900000006</v>
      </c>
      <c r="Q26" s="9">
        <v>63.871698799999997</v>
      </c>
      <c r="R26" s="9">
        <v>36.127594219999999</v>
      </c>
      <c r="S26" s="9">
        <v>34.695295700000003</v>
      </c>
      <c r="T26" s="9">
        <v>37.216538589999999</v>
      </c>
      <c r="U26" s="9">
        <v>30.507968250000001</v>
      </c>
      <c r="V26" s="9">
        <v>30.186775600000001</v>
      </c>
      <c r="W26" s="9">
        <v>31.457491919999999</v>
      </c>
      <c r="X26" s="9">
        <v>113.03375509999999</v>
      </c>
      <c r="Y26" s="9">
        <v>137.00004920000001</v>
      </c>
      <c r="Z26" s="9">
        <v>136.30324949999999</v>
      </c>
      <c r="AA26" s="5"/>
      <c r="AD26" s="5"/>
      <c r="AG26" s="5"/>
      <c r="AJ26" s="5"/>
      <c r="AM26" s="5"/>
      <c r="AP26" s="5"/>
      <c r="AS26" s="5"/>
      <c r="AV26" s="5"/>
    </row>
    <row r="27" spans="1:48" x14ac:dyDescent="0.2">
      <c r="A27" s="2" t="s">
        <v>18</v>
      </c>
      <c r="B27" s="2" t="s">
        <v>81</v>
      </c>
      <c r="C27" s="9">
        <v>2.7040015899999998</v>
      </c>
      <c r="D27" s="9">
        <v>2.78773502</v>
      </c>
      <c r="E27" s="9">
        <v>2.8395074</v>
      </c>
      <c r="F27" s="9">
        <v>1.10332714</v>
      </c>
      <c r="G27" s="9">
        <v>1.32948708</v>
      </c>
      <c r="H27" s="9">
        <v>0.80380799999999997</v>
      </c>
      <c r="I27" s="9">
        <v>1.1285000000000001</v>
      </c>
      <c r="J27" s="9">
        <v>1.706002</v>
      </c>
      <c r="K27" s="9">
        <v>1.0096036799999999</v>
      </c>
      <c r="L27" s="9">
        <v>5.9092549999999999</v>
      </c>
      <c r="M27" s="9">
        <v>7.5662969999999996</v>
      </c>
      <c r="N27" s="9">
        <v>5.8368440000000001</v>
      </c>
      <c r="O27" s="9">
        <v>27.299524399999999</v>
      </c>
      <c r="P27" s="9">
        <v>21.937876899999999</v>
      </c>
      <c r="Q27" s="9">
        <v>15.3651459</v>
      </c>
      <c r="R27" s="9">
        <v>0.97366527000000003</v>
      </c>
      <c r="S27" s="9">
        <v>0.83504383999999998</v>
      </c>
      <c r="T27" s="9">
        <v>0.69639664999999995</v>
      </c>
      <c r="U27" s="9">
        <v>0.48390430000000001</v>
      </c>
      <c r="V27" s="9">
        <v>0.3979685</v>
      </c>
      <c r="W27" s="9">
        <v>0.40366138000000001</v>
      </c>
      <c r="X27" s="9">
        <v>0.43370310000000001</v>
      </c>
      <c r="Y27" s="9">
        <v>1.4813708000000001</v>
      </c>
      <c r="Z27" s="9">
        <v>2.8076975000000002</v>
      </c>
      <c r="AA27" s="5"/>
      <c r="AD27" s="5"/>
      <c r="AG27" s="5"/>
      <c r="AJ27" s="5"/>
      <c r="AM27" s="5"/>
      <c r="AP27" s="5"/>
      <c r="AS27" s="5"/>
      <c r="AV27" s="5"/>
    </row>
    <row r="28" spans="1:48" x14ac:dyDescent="0.2">
      <c r="A28" s="2" t="s">
        <v>79</v>
      </c>
      <c r="B28" s="2" t="s">
        <v>80</v>
      </c>
      <c r="C28" s="9">
        <v>5.9061490000000001E-2</v>
      </c>
      <c r="D28" s="9">
        <v>4.9547590000000002E-2</v>
      </c>
      <c r="E28" s="9">
        <v>6.6166299999999997E-2</v>
      </c>
      <c r="F28" s="9">
        <v>0</v>
      </c>
      <c r="G28" s="9">
        <v>1.8581690000000001E-2</v>
      </c>
      <c r="H28" s="9">
        <v>0</v>
      </c>
      <c r="I28" s="9">
        <v>0.24488950000000001</v>
      </c>
      <c r="J28" s="9">
        <v>0.20560320000000001</v>
      </c>
      <c r="K28" s="9">
        <v>0.19563502999999999</v>
      </c>
      <c r="L28" s="9">
        <v>4.6145079999999998E-3</v>
      </c>
      <c r="M28" s="9">
        <v>7.9944730000000002E-3</v>
      </c>
      <c r="N28" s="9">
        <v>7.5447379999999996E-3</v>
      </c>
      <c r="O28" s="9">
        <v>0.2143708</v>
      </c>
      <c r="P28" s="9">
        <v>0.29205629999999999</v>
      </c>
      <c r="Q28" s="9">
        <v>0.33276040000000001</v>
      </c>
      <c r="R28" s="9">
        <v>0.22554215999999999</v>
      </c>
      <c r="S28" s="9">
        <v>0.30191380000000001</v>
      </c>
      <c r="T28" s="9">
        <v>0.20823353999999999</v>
      </c>
      <c r="U28" s="9">
        <v>0.11192974999999999</v>
      </c>
      <c r="V28" s="9">
        <v>0.20281979999999999</v>
      </c>
      <c r="W28" s="9">
        <v>0.14121495000000001</v>
      </c>
      <c r="X28" s="9">
        <v>0.24291209999999999</v>
      </c>
      <c r="Y28" s="9">
        <v>0</v>
      </c>
      <c r="Z28" s="9">
        <v>0</v>
      </c>
      <c r="AA28" s="5"/>
      <c r="AD28" s="5"/>
      <c r="AG28" s="5"/>
      <c r="AJ28" s="5"/>
      <c r="AM28" s="5"/>
      <c r="AP28" s="5"/>
      <c r="AS28" s="5"/>
      <c r="AV28" s="5"/>
    </row>
    <row r="29" spans="1:48" x14ac:dyDescent="0.2">
      <c r="A29" s="2" t="s">
        <v>21</v>
      </c>
      <c r="B29" s="2" t="s">
        <v>80</v>
      </c>
      <c r="C29" s="9">
        <v>0.11118522</v>
      </c>
      <c r="D29" s="9">
        <v>0.10611979000000001</v>
      </c>
      <c r="E29" s="9">
        <v>0.10397723</v>
      </c>
      <c r="F29" s="9">
        <v>2.297635E-2</v>
      </c>
      <c r="G29" s="9">
        <v>0</v>
      </c>
      <c r="H29" s="9">
        <v>0.1815445</v>
      </c>
      <c r="I29" s="9">
        <v>0.32321610000000001</v>
      </c>
      <c r="J29" s="9">
        <v>0.73731190000000002</v>
      </c>
      <c r="K29" s="9">
        <v>0.38988834999999999</v>
      </c>
      <c r="L29" s="9">
        <v>0.68677390000000005</v>
      </c>
      <c r="M29" s="9">
        <v>0.89523039999999998</v>
      </c>
      <c r="N29" s="9">
        <v>0.4485924</v>
      </c>
      <c r="O29" s="9">
        <v>2.3918075999999999</v>
      </c>
      <c r="P29" s="9">
        <v>1.9453354</v>
      </c>
      <c r="Q29" s="9">
        <v>1.2421481000000001</v>
      </c>
      <c r="R29" s="9">
        <v>0.89880906999999999</v>
      </c>
      <c r="S29" s="9">
        <v>0.50297389999999997</v>
      </c>
      <c r="T29" s="9">
        <v>0.77132429000000002</v>
      </c>
      <c r="U29" s="9">
        <v>0.25166040000000001</v>
      </c>
      <c r="V29" s="9">
        <v>0.37295149999999999</v>
      </c>
      <c r="W29" s="9">
        <v>0.38419668000000001</v>
      </c>
      <c r="X29" s="9">
        <v>0.85257190000000005</v>
      </c>
      <c r="Y29" s="9">
        <v>1.5139045</v>
      </c>
      <c r="Z29" s="9">
        <v>1.4760781000000001</v>
      </c>
      <c r="AA29" s="5"/>
      <c r="AD29" s="5"/>
      <c r="AG29" s="5"/>
      <c r="AJ29" s="5"/>
      <c r="AM29" s="5"/>
      <c r="AP29" s="5"/>
      <c r="AS29" s="5"/>
      <c r="AV29" s="5"/>
    </row>
    <row r="30" spans="1:48" x14ac:dyDescent="0.2">
      <c r="A30" s="2" t="s">
        <v>29</v>
      </c>
      <c r="B30" s="2" t="s">
        <v>80</v>
      </c>
      <c r="C30" s="9">
        <v>0.83445910999999995</v>
      </c>
      <c r="D30" s="9">
        <v>1.04750992</v>
      </c>
      <c r="E30" s="9">
        <v>0.89358983999999997</v>
      </c>
      <c r="F30" s="9">
        <v>0.13679235000000001</v>
      </c>
      <c r="G30" s="9">
        <v>0.25612509999999999</v>
      </c>
      <c r="H30" s="9">
        <v>0.2076711</v>
      </c>
      <c r="I30" s="9">
        <v>0.27861920000000001</v>
      </c>
      <c r="J30" s="9">
        <v>0.46070309999999998</v>
      </c>
      <c r="K30" s="9">
        <v>0.27622873999999997</v>
      </c>
      <c r="L30" s="9">
        <v>0.35151369999999998</v>
      </c>
      <c r="M30" s="9">
        <v>0.54242999999999997</v>
      </c>
      <c r="N30" s="9">
        <v>0.36110959999999998</v>
      </c>
      <c r="O30" s="9">
        <v>1.4807945</v>
      </c>
      <c r="P30" s="9">
        <v>1.5723218000000001</v>
      </c>
      <c r="Q30" s="9">
        <v>0.82342090000000001</v>
      </c>
      <c r="R30" s="9">
        <v>0.71574804999999997</v>
      </c>
      <c r="S30" s="9">
        <v>0.68368777999999997</v>
      </c>
      <c r="T30" s="9">
        <v>0.58895717999999997</v>
      </c>
      <c r="U30" s="9">
        <v>0.29250431999999998</v>
      </c>
      <c r="V30" s="9">
        <v>0.16177320000000001</v>
      </c>
      <c r="W30" s="9">
        <v>0.28765506000000002</v>
      </c>
      <c r="X30" s="9">
        <v>0</v>
      </c>
      <c r="Y30" s="9">
        <v>0</v>
      </c>
      <c r="Z30" s="9">
        <v>0</v>
      </c>
      <c r="AA30" s="5"/>
      <c r="AD30" s="5"/>
      <c r="AG30" s="5"/>
      <c r="AJ30" s="5"/>
      <c r="AM30" s="5"/>
      <c r="AP30" s="5"/>
      <c r="AS30" s="5"/>
      <c r="AV30" s="5"/>
    </row>
    <row r="31" spans="1:48" x14ac:dyDescent="0.2">
      <c r="A31" s="2" t="s">
        <v>20</v>
      </c>
      <c r="B31" s="2" t="s">
        <v>171</v>
      </c>
      <c r="C31" s="9">
        <v>8.9780576399999994</v>
      </c>
      <c r="D31" s="9">
        <v>9.3684544699999996</v>
      </c>
      <c r="E31" s="9">
        <v>9.6588712700000006</v>
      </c>
      <c r="F31" s="9">
        <v>6.4816850400000003</v>
      </c>
      <c r="G31" s="9">
        <v>6.9090490200000003</v>
      </c>
      <c r="H31" s="9">
        <v>8.1746259999999999</v>
      </c>
      <c r="I31" s="9">
        <v>4.4361220000000001</v>
      </c>
      <c r="J31" s="9">
        <v>6.3025089999999997</v>
      </c>
      <c r="K31" s="9">
        <v>4.6668953999999996</v>
      </c>
      <c r="L31" s="9">
        <v>19.805099999999999</v>
      </c>
      <c r="M31" s="9">
        <v>18.250219999999999</v>
      </c>
      <c r="N31" s="9">
        <v>17.321179999999998</v>
      </c>
      <c r="O31" s="9">
        <v>8.8846325999999998</v>
      </c>
      <c r="P31" s="9">
        <v>8.0245475000000006</v>
      </c>
      <c r="Q31" s="9">
        <v>5.7757291000000004</v>
      </c>
      <c r="R31" s="9">
        <v>0.92763262000000002</v>
      </c>
      <c r="S31" s="9">
        <v>0.82808915000000005</v>
      </c>
      <c r="T31" s="9">
        <v>0.82732773999999998</v>
      </c>
      <c r="U31" s="9">
        <v>0.55526385</v>
      </c>
      <c r="V31" s="9">
        <v>0.64554979999999995</v>
      </c>
      <c r="W31" s="9">
        <v>0.78934667000000003</v>
      </c>
      <c r="X31" s="9">
        <v>0.70852159999999997</v>
      </c>
      <c r="Y31" s="9">
        <v>0.438245</v>
      </c>
      <c r="Z31" s="9">
        <v>0.20678759999999999</v>
      </c>
      <c r="AA31" s="5"/>
      <c r="AD31" s="5"/>
      <c r="AG31" s="5"/>
      <c r="AJ31" s="5"/>
      <c r="AM31" s="5"/>
      <c r="AP31" s="5"/>
      <c r="AS31" s="5"/>
      <c r="AV31" s="5"/>
    </row>
    <row r="32" spans="1:48" x14ac:dyDescent="0.2">
      <c r="A32" s="2" t="s">
        <v>82</v>
      </c>
      <c r="B32" s="2" t="s">
        <v>83</v>
      </c>
      <c r="C32" s="9">
        <v>5.15029</v>
      </c>
      <c r="D32" s="9">
        <v>4.8589716799999998</v>
      </c>
      <c r="E32" s="9">
        <v>4.8536728800000004</v>
      </c>
      <c r="F32" s="9">
        <v>0.65307749000000004</v>
      </c>
      <c r="G32" s="9">
        <v>0.59530784999999997</v>
      </c>
      <c r="H32" s="9">
        <v>0.94378039999999996</v>
      </c>
      <c r="I32" s="9">
        <v>0.97106170000000003</v>
      </c>
      <c r="J32" s="9">
        <v>0.93976519999999997</v>
      </c>
      <c r="K32" s="9">
        <v>1.04594118</v>
      </c>
      <c r="L32" s="9">
        <v>0.18789059999999999</v>
      </c>
      <c r="M32" s="9">
        <v>0.2131527</v>
      </c>
      <c r="N32" s="9">
        <v>0.1490013</v>
      </c>
      <c r="O32" s="9">
        <v>0</v>
      </c>
      <c r="P32" s="9">
        <v>0</v>
      </c>
      <c r="Q32" s="9">
        <v>0</v>
      </c>
      <c r="R32" s="9">
        <v>7.7036469999999996E-2</v>
      </c>
      <c r="S32" s="9">
        <v>7.4487750000000005E-2</v>
      </c>
      <c r="T32" s="9">
        <v>8.1107520000000002E-2</v>
      </c>
      <c r="U32" s="9">
        <v>1.379152E-2</v>
      </c>
      <c r="V32" s="9">
        <v>5.0948100000000003E-2</v>
      </c>
      <c r="W32" s="9">
        <v>7.4054579999999995E-2</v>
      </c>
      <c r="X32" s="9">
        <v>0</v>
      </c>
      <c r="Y32" s="9">
        <v>0.1222073</v>
      </c>
      <c r="Z32" s="9">
        <v>0</v>
      </c>
      <c r="AA32" s="5"/>
      <c r="AD32" s="5"/>
      <c r="AG32" s="5"/>
      <c r="AJ32" s="5"/>
      <c r="AM32" s="5"/>
      <c r="AP32" s="5"/>
      <c r="AS32" s="5"/>
      <c r="AV32" s="5"/>
    </row>
    <row r="33" spans="1:26" x14ac:dyDescent="0.2">
      <c r="A33" s="2" t="s">
        <v>172</v>
      </c>
      <c r="B33" s="2" t="s">
        <v>173</v>
      </c>
      <c r="C33" s="9">
        <v>144.52951985000001</v>
      </c>
      <c r="D33" s="9">
        <v>146.48334019999999</v>
      </c>
      <c r="E33" s="9">
        <v>145.99693958</v>
      </c>
      <c r="F33" s="9">
        <v>220.10766860000001</v>
      </c>
      <c r="G33" s="9">
        <v>218.21355869999999</v>
      </c>
      <c r="H33" s="9">
        <v>225.56139999999999</v>
      </c>
      <c r="I33" s="9">
        <v>96.460859999999997</v>
      </c>
      <c r="J33" s="9">
        <v>105.30329999999999</v>
      </c>
      <c r="K33" s="9">
        <v>98.342740370000001</v>
      </c>
      <c r="L33" s="9">
        <v>128.34030000000001</v>
      </c>
      <c r="M33" s="9">
        <v>126.4487</v>
      </c>
      <c r="N33" s="9">
        <v>123.7086</v>
      </c>
      <c r="O33" s="9">
        <v>175.5007804</v>
      </c>
      <c r="P33" s="9">
        <v>180.92314229999999</v>
      </c>
      <c r="Q33" s="9">
        <v>177.23571920000001</v>
      </c>
      <c r="R33" s="9">
        <v>163.07977896</v>
      </c>
      <c r="S33" s="9">
        <v>160.76771214999999</v>
      </c>
      <c r="T33" s="9">
        <v>162.25825950999999</v>
      </c>
      <c r="U33" s="9">
        <v>149.70241813000001</v>
      </c>
      <c r="V33" s="9">
        <v>143.76245180000001</v>
      </c>
      <c r="W33" s="9">
        <v>148.53517780999999</v>
      </c>
      <c r="X33" s="9">
        <v>290.18216710000002</v>
      </c>
      <c r="Y33" s="9">
        <v>331.32352079999998</v>
      </c>
      <c r="Z33" s="9">
        <v>349.8111634</v>
      </c>
    </row>
    <row r="34" spans="1:26" x14ac:dyDescent="0.2">
      <c r="A34" s="2" t="s">
        <v>23</v>
      </c>
      <c r="B34" s="2" t="s">
        <v>84</v>
      </c>
      <c r="C34" s="9">
        <v>0.82402739000000003</v>
      </c>
      <c r="D34" s="9">
        <v>0.72189734999999999</v>
      </c>
      <c r="E34" s="9">
        <v>0.72857519000000004</v>
      </c>
      <c r="F34" s="9">
        <v>8.093293E-2</v>
      </c>
      <c r="G34" s="9">
        <v>0.10497938</v>
      </c>
      <c r="H34" s="9">
        <v>0.16870360000000001</v>
      </c>
      <c r="I34" s="9">
        <v>4.4298499999999999E-3</v>
      </c>
      <c r="J34" s="9">
        <v>0</v>
      </c>
      <c r="K34" s="9">
        <v>0</v>
      </c>
      <c r="L34" s="9">
        <v>1.8335789999999999E-3</v>
      </c>
      <c r="M34" s="9">
        <v>0</v>
      </c>
      <c r="N34" s="9">
        <v>0</v>
      </c>
      <c r="O34" s="9">
        <v>5.5777334999999999</v>
      </c>
      <c r="P34" s="9">
        <v>6.4953554000000002</v>
      </c>
      <c r="Q34" s="9">
        <v>7.4217439000000001</v>
      </c>
      <c r="R34" s="9">
        <v>6.5262147500000003</v>
      </c>
      <c r="S34" s="9">
        <v>6.9450601599999997</v>
      </c>
      <c r="T34" s="9">
        <v>6.6743285500000002</v>
      </c>
      <c r="U34" s="9">
        <v>4.0509599300000003</v>
      </c>
      <c r="V34" s="9">
        <v>3.5187536000000001</v>
      </c>
      <c r="W34" s="9">
        <v>4.0190060900000004</v>
      </c>
      <c r="X34" s="9">
        <v>5.5141039000000003</v>
      </c>
      <c r="Y34" s="9">
        <v>3.6211421000000001</v>
      </c>
      <c r="Z34" s="9">
        <v>3.9329483000000001</v>
      </c>
    </row>
    <row r="35" spans="1:26" x14ac:dyDescent="0.2">
      <c r="A35" s="2" t="s">
        <v>24</v>
      </c>
      <c r="B35" s="2" t="s">
        <v>84</v>
      </c>
      <c r="C35" s="9">
        <v>4.9237368500000001</v>
      </c>
      <c r="D35" s="9">
        <v>4.7339794399999997</v>
      </c>
      <c r="E35" s="9">
        <v>4.6028387300000002</v>
      </c>
      <c r="F35" s="9">
        <v>1.19101367</v>
      </c>
      <c r="G35" s="9">
        <v>1.02701307</v>
      </c>
      <c r="H35" s="9">
        <v>2.0879569999999998</v>
      </c>
      <c r="I35" s="9">
        <v>23.991379999999999</v>
      </c>
      <c r="J35" s="9">
        <v>23.204940000000001</v>
      </c>
      <c r="K35" s="9">
        <v>23.057686260000001</v>
      </c>
      <c r="L35" s="9">
        <v>0.67760109999999996</v>
      </c>
      <c r="M35" s="9">
        <v>0.62071679999999996</v>
      </c>
      <c r="N35" s="9">
        <v>0.3316384</v>
      </c>
      <c r="O35" s="9">
        <v>13.038669499999999</v>
      </c>
      <c r="P35" s="9">
        <v>15.405651900000001</v>
      </c>
      <c r="Q35" s="9">
        <v>14.8363686</v>
      </c>
      <c r="R35" s="9">
        <v>12.81909868</v>
      </c>
      <c r="S35" s="9">
        <v>14.102141059999999</v>
      </c>
      <c r="T35" s="9">
        <v>12.496630079999999</v>
      </c>
      <c r="U35" s="9">
        <v>8.8716366099999995</v>
      </c>
      <c r="V35" s="9">
        <v>8.6572575999999994</v>
      </c>
      <c r="W35" s="9">
        <v>9.26274716</v>
      </c>
      <c r="X35" s="9">
        <v>14.018831799999999</v>
      </c>
      <c r="Y35" s="9">
        <v>12.5450996</v>
      </c>
      <c r="Z35" s="9">
        <v>12.914325</v>
      </c>
    </row>
    <row r="36" spans="1:26" x14ac:dyDescent="0.2">
      <c r="A36" s="2" t="s">
        <v>174</v>
      </c>
      <c r="B36" s="2" t="s">
        <v>84</v>
      </c>
      <c r="C36" s="9">
        <v>2.6838269100000001</v>
      </c>
      <c r="D36" s="9">
        <v>2.9337982500000002</v>
      </c>
      <c r="E36" s="9">
        <v>2.7801777300000001</v>
      </c>
      <c r="F36" s="9">
        <v>0.41512136999999999</v>
      </c>
      <c r="G36" s="9">
        <v>0.37843989</v>
      </c>
      <c r="H36" s="9">
        <v>0.46599239999999997</v>
      </c>
      <c r="I36" s="9">
        <v>0.1188579</v>
      </c>
      <c r="J36" s="9">
        <v>0.1934978</v>
      </c>
      <c r="K36" s="9">
        <v>9.6261410000000006E-2</v>
      </c>
      <c r="L36" s="9">
        <v>5.0261470000000003E-2</v>
      </c>
      <c r="M36" s="9">
        <v>9.5040620000000006E-2</v>
      </c>
      <c r="N36" s="9">
        <v>2.044632E-2</v>
      </c>
      <c r="O36" s="9">
        <v>1.3286842999999999</v>
      </c>
      <c r="P36" s="9">
        <v>1.1014556</v>
      </c>
      <c r="Q36" s="9">
        <v>1.2258530000000001</v>
      </c>
      <c r="R36" s="9">
        <v>2.1265932099999998</v>
      </c>
      <c r="S36" s="9">
        <v>1.97900649</v>
      </c>
      <c r="T36" s="9">
        <v>1.4595305700000001</v>
      </c>
      <c r="U36" s="9">
        <v>1.0810733800000001</v>
      </c>
      <c r="V36" s="9">
        <v>1.0730546000000001</v>
      </c>
      <c r="W36" s="9">
        <v>0.97256597</v>
      </c>
      <c r="X36" s="9">
        <v>0</v>
      </c>
      <c r="Y36" s="9">
        <v>0</v>
      </c>
      <c r="Z36" s="9">
        <v>0.32678610000000002</v>
      </c>
    </row>
    <row r="37" spans="1:26" x14ac:dyDescent="0.2">
      <c r="A37" s="2" t="s">
        <v>175</v>
      </c>
      <c r="B37" s="2" t="s">
        <v>84</v>
      </c>
      <c r="C37" s="9">
        <v>8.5794679999999998E-2</v>
      </c>
      <c r="D37" s="9">
        <v>5.5166710000000001E-2</v>
      </c>
      <c r="E37" s="9">
        <v>2.3194559999999999E-2</v>
      </c>
      <c r="F37" s="9">
        <v>0</v>
      </c>
      <c r="G37" s="9">
        <v>0</v>
      </c>
      <c r="H37" s="9">
        <v>0</v>
      </c>
      <c r="I37" s="9">
        <v>3.6835269999999998E-3</v>
      </c>
      <c r="J37" s="9">
        <v>4.0020139999999999E-3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</row>
    <row r="38" spans="1:26" x14ac:dyDescent="0.2">
      <c r="A38" s="2" t="s">
        <v>26</v>
      </c>
      <c r="B38" s="2" t="s">
        <v>85</v>
      </c>
      <c r="C38" s="9">
        <v>0.18797584000000001</v>
      </c>
      <c r="D38" s="9">
        <v>0.15430141</v>
      </c>
      <c r="E38" s="9">
        <v>0.17112046</v>
      </c>
      <c r="F38" s="9">
        <v>1.0079257800000001</v>
      </c>
      <c r="G38" s="9">
        <v>1.32297186</v>
      </c>
      <c r="H38" s="9">
        <v>2.436318</v>
      </c>
      <c r="I38" s="9">
        <v>0</v>
      </c>
      <c r="J38" s="9">
        <v>0</v>
      </c>
      <c r="K38" s="9">
        <v>0</v>
      </c>
      <c r="L38" s="9">
        <v>5.7667910000000003E-2</v>
      </c>
      <c r="M38" s="9">
        <v>3.3796699999999999E-2</v>
      </c>
      <c r="N38" s="9">
        <v>0.1121148</v>
      </c>
      <c r="O38" s="9">
        <v>2.3427959999999999</v>
      </c>
      <c r="P38" s="9">
        <v>2.5899614999999998</v>
      </c>
      <c r="Q38" s="9">
        <v>2.2175867</v>
      </c>
      <c r="R38" s="9">
        <v>2.5563409699999999</v>
      </c>
      <c r="S38" s="9">
        <v>2.6030292799999999</v>
      </c>
      <c r="T38" s="9">
        <v>1.8210804</v>
      </c>
      <c r="U38" s="9">
        <v>2.0648966899999999</v>
      </c>
      <c r="V38" s="9">
        <v>1.5160186</v>
      </c>
      <c r="W38" s="9">
        <v>1.8734155299999999</v>
      </c>
      <c r="X38" s="9">
        <v>17.7701043</v>
      </c>
      <c r="Y38" s="9">
        <v>16.029547900000001</v>
      </c>
      <c r="Z38" s="9">
        <v>17.879360899999998</v>
      </c>
    </row>
  </sheetData>
  <sortState xmlns:xlrd2="http://schemas.microsoft.com/office/spreadsheetml/2017/richdata2" ref="A7:V28">
    <sortCondition ref="A3:A28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9F23-BE3A-624F-9783-4D1FDB174F53}">
  <dimension ref="A1:AB326"/>
  <sheetViews>
    <sheetView workbookViewId="0">
      <pane xSplit="1" topLeftCell="B1" activePane="topRight" state="frozen"/>
      <selection pane="topRight"/>
    </sheetView>
  </sheetViews>
  <sheetFormatPr baseColWidth="10" defaultRowHeight="16" x14ac:dyDescent="0.2"/>
  <cols>
    <col min="2" max="2" width="29.1640625" customWidth="1"/>
  </cols>
  <sheetData>
    <row r="1" spans="1:28" ht="22" x14ac:dyDescent="0.3">
      <c r="A1" s="11" t="s">
        <v>1045</v>
      </c>
    </row>
    <row r="3" spans="1:28" x14ac:dyDescent="0.2">
      <c r="A3" s="8" t="s">
        <v>0</v>
      </c>
      <c r="B3" s="8" t="s">
        <v>30</v>
      </c>
      <c r="C3" s="8" t="s">
        <v>52</v>
      </c>
      <c r="D3" s="8" t="s">
        <v>53</v>
      </c>
      <c r="E3" s="8" t="s">
        <v>54</v>
      </c>
      <c r="F3" s="8" t="s">
        <v>55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8" t="s">
        <v>65</v>
      </c>
      <c r="Q3" s="8" t="s">
        <v>66</v>
      </c>
      <c r="R3" s="8" t="s">
        <v>67</v>
      </c>
      <c r="S3" s="8" t="s">
        <v>68</v>
      </c>
      <c r="T3" s="8" t="s">
        <v>69</v>
      </c>
      <c r="U3" s="8" t="s">
        <v>70</v>
      </c>
      <c r="V3" s="8" t="s">
        <v>71</v>
      </c>
      <c r="W3" s="8" t="s">
        <v>72</v>
      </c>
      <c r="X3" s="8" t="s">
        <v>73</v>
      </c>
      <c r="Y3" s="8" t="s">
        <v>74</v>
      </c>
      <c r="Z3" s="8" t="s">
        <v>75</v>
      </c>
      <c r="AA3" s="8"/>
      <c r="AB3" s="8"/>
    </row>
    <row r="4" spans="1:28" x14ac:dyDescent="0.2">
      <c r="A4" t="s">
        <v>22</v>
      </c>
      <c r="B4" t="s">
        <v>41</v>
      </c>
      <c r="C4">
        <v>4.04714108541325E-2</v>
      </c>
      <c r="D4">
        <v>9.6972844216907592E-3</v>
      </c>
      <c r="E4">
        <v>2.5544826031412001E-2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2.9561998893575898E-3</v>
      </c>
      <c r="N4">
        <v>0</v>
      </c>
      <c r="O4">
        <v>0.13914651789640459</v>
      </c>
      <c r="P4">
        <v>0.130804764435067</v>
      </c>
      <c r="Q4">
        <v>2.4421200996695602E-2</v>
      </c>
      <c r="R4">
        <v>0.13473154477453361</v>
      </c>
      <c r="S4">
        <v>9.8199837460354003E-2</v>
      </c>
      <c r="T4">
        <v>0.20958285826086401</v>
      </c>
      <c r="U4">
        <v>0.12899459845941599</v>
      </c>
      <c r="V4">
        <v>3.1327926755248703E-2</v>
      </c>
      <c r="W4">
        <v>8.8963235846928806E-2</v>
      </c>
      <c r="X4">
        <v>0</v>
      </c>
      <c r="Y4">
        <v>0.3218241</v>
      </c>
      <c r="Z4">
        <v>0</v>
      </c>
    </row>
    <row r="5" spans="1:28" x14ac:dyDescent="0.2">
      <c r="A5" t="s">
        <v>22</v>
      </c>
      <c r="B5" t="s">
        <v>176</v>
      </c>
      <c r="C5">
        <v>1.8919207572914161E-2</v>
      </c>
      <c r="D5">
        <v>4.6516484819064903E-2</v>
      </c>
      <c r="E5">
        <v>6.5228826933193098E-3</v>
      </c>
      <c r="F5">
        <v>8.1300996E-2</v>
      </c>
      <c r="G5">
        <v>0.14023139000000001</v>
      </c>
      <c r="H5">
        <v>8.4738437999999999E-2</v>
      </c>
      <c r="I5">
        <v>1.22496853951197</v>
      </c>
      <c r="J5">
        <v>0.78547419614499803</v>
      </c>
      <c r="K5">
        <v>0.96244535247652607</v>
      </c>
      <c r="L5">
        <v>2.1220626057364099E-3</v>
      </c>
      <c r="M5">
        <v>1.000771743684737E-2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8" x14ac:dyDescent="0.2">
      <c r="A6" t="s">
        <v>22</v>
      </c>
      <c r="B6" t="s">
        <v>177</v>
      </c>
      <c r="C6">
        <v>7.0511101956655803E-2</v>
      </c>
      <c r="D6">
        <v>0.16067971303263101</v>
      </c>
      <c r="E6">
        <v>6.4776057713985105E-2</v>
      </c>
      <c r="F6">
        <v>6.0975660000000001E-2</v>
      </c>
      <c r="G6">
        <v>4.0066079999999997E-2</v>
      </c>
      <c r="H6">
        <v>5.2961517E-2</v>
      </c>
      <c r="I6">
        <v>0.15283518444796501</v>
      </c>
      <c r="J6">
        <v>0.114888031174115</v>
      </c>
      <c r="K6">
        <v>0.12482198155232101</v>
      </c>
      <c r="L6">
        <v>1.48556606264485E-2</v>
      </c>
      <c r="M6">
        <v>2.98717288004935E-3</v>
      </c>
      <c r="N6">
        <v>9.1688244125231605E-3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8" x14ac:dyDescent="0.2">
      <c r="A7" t="s">
        <v>22</v>
      </c>
      <c r="B7" t="s">
        <v>178</v>
      </c>
      <c r="C7">
        <v>8.10169292033662E-3</v>
      </c>
      <c r="D7">
        <v>2.13814396911319E-2</v>
      </c>
      <c r="E7">
        <v>0</v>
      </c>
      <c r="F7">
        <v>0.11324055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0.60575544881154997</v>
      </c>
      <c r="P7">
        <v>0.53020436183952802</v>
      </c>
      <c r="Q7">
        <v>0.86887986797018502</v>
      </c>
      <c r="R7">
        <v>0.13479325073875789</v>
      </c>
      <c r="S7">
        <v>0.1949612709737272</v>
      </c>
      <c r="T7">
        <v>4.5930793466600998E-2</v>
      </c>
      <c r="U7">
        <v>0</v>
      </c>
      <c r="V7">
        <v>4.6187484917402197E-2</v>
      </c>
      <c r="W7">
        <v>8.13773400496203E-2</v>
      </c>
      <c r="X7">
        <v>0</v>
      </c>
      <c r="Y7">
        <v>0</v>
      </c>
      <c r="Z7">
        <v>0</v>
      </c>
    </row>
    <row r="8" spans="1:28" x14ac:dyDescent="0.2">
      <c r="A8" t="s">
        <v>22</v>
      </c>
      <c r="B8" t="s">
        <v>179</v>
      </c>
      <c r="C8">
        <v>0</v>
      </c>
      <c r="D8">
        <v>1.4159277049948399E-2</v>
      </c>
      <c r="E8">
        <v>0</v>
      </c>
      <c r="F8">
        <v>0</v>
      </c>
      <c r="G8">
        <v>2.0092494999999998E-2</v>
      </c>
      <c r="H8">
        <v>0</v>
      </c>
      <c r="I8">
        <v>0.34180027911442201</v>
      </c>
      <c r="J8">
        <v>0.272950325516229</v>
      </c>
      <c r="K8">
        <v>0.238167983175187</v>
      </c>
      <c r="L8">
        <v>3.1539399955016201E-2</v>
      </c>
      <c r="M8">
        <v>2.1793800755913001E-2</v>
      </c>
      <c r="N8">
        <v>1.70687490179561E-2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8" x14ac:dyDescent="0.2">
      <c r="A9" t="s">
        <v>22</v>
      </c>
      <c r="B9" t="s">
        <v>180</v>
      </c>
      <c r="C9">
        <v>3.8291778645271397E-2</v>
      </c>
      <c r="D9">
        <v>6.2589253963863806E-2</v>
      </c>
      <c r="E9">
        <v>4.8852107913128398E-2</v>
      </c>
      <c r="F9">
        <v>0</v>
      </c>
      <c r="G9">
        <v>2.7525065000000001E-2</v>
      </c>
      <c r="H9">
        <v>1.4553658000000001E-2</v>
      </c>
      <c r="I9">
        <v>1.42977119564104E-2</v>
      </c>
      <c r="J9">
        <v>0</v>
      </c>
      <c r="K9">
        <v>1.43636047493666E-2</v>
      </c>
      <c r="L9">
        <v>3.55469934186722E-3</v>
      </c>
      <c r="M9">
        <v>1.5363463743963499E-2</v>
      </c>
      <c r="N9">
        <v>6.7366564159984403E-3</v>
      </c>
      <c r="O9">
        <v>8.5630175657667312E-3</v>
      </c>
      <c r="P9">
        <v>2.96826942096832E-2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8" x14ac:dyDescent="0.2">
      <c r="A10" t="s">
        <v>22</v>
      </c>
      <c r="B10" t="s">
        <v>298</v>
      </c>
      <c r="C10">
        <v>1.1325368957242151E-2</v>
      </c>
      <c r="D10">
        <v>1.9236522298674098E-2</v>
      </c>
      <c r="E10">
        <v>2.7850003757420871E-2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2.1000596524511301E-3</v>
      </c>
      <c r="M10">
        <v>1.4015278288019601E-3</v>
      </c>
      <c r="N10">
        <v>0</v>
      </c>
      <c r="O10">
        <v>9.7270408077634389</v>
      </c>
      <c r="P10">
        <v>8.1498252704332756</v>
      </c>
      <c r="Q10">
        <v>6.2066094010117876</v>
      </c>
      <c r="R10">
        <v>8.9706759545569892E-2</v>
      </c>
      <c r="S10">
        <v>0.14594765648036939</v>
      </c>
      <c r="T10">
        <v>0.1144491745545563</v>
      </c>
      <c r="U10">
        <v>8.1682241946565592E-2</v>
      </c>
      <c r="V10">
        <v>5.4136471001192003E-2</v>
      </c>
      <c r="W10">
        <v>5.1101420945793598E-2</v>
      </c>
      <c r="X10">
        <v>0</v>
      </c>
      <c r="Y10">
        <v>0</v>
      </c>
      <c r="Z10">
        <v>0</v>
      </c>
    </row>
    <row r="11" spans="1:28" x14ac:dyDescent="0.2">
      <c r="A11" t="s">
        <v>25</v>
      </c>
      <c r="B11" t="s">
        <v>181</v>
      </c>
      <c r="C11">
        <v>0.25045499822360001</v>
      </c>
      <c r="D11">
        <v>0.19908784565626</v>
      </c>
      <c r="E11">
        <v>0.21955549710678601</v>
      </c>
      <c r="F11">
        <v>0</v>
      </c>
      <c r="G11">
        <v>0.12331597</v>
      </c>
      <c r="H11">
        <v>5.9274840000000002E-2</v>
      </c>
      <c r="I11">
        <v>0.16947339640571199</v>
      </c>
      <c r="J11">
        <v>0.46538211529976797</v>
      </c>
      <c r="K11">
        <v>0.28693572292049602</v>
      </c>
      <c r="L11">
        <v>0.19571137992743901</v>
      </c>
      <c r="M11">
        <v>0.149857653296946</v>
      </c>
      <c r="N11">
        <v>0.140929743090702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8" x14ac:dyDescent="0.2">
      <c r="A12" t="s">
        <v>25</v>
      </c>
      <c r="B12" t="s">
        <v>298</v>
      </c>
      <c r="C12">
        <v>8.4482544415455298E-3</v>
      </c>
      <c r="D12">
        <v>1.09390787015347E-2</v>
      </c>
      <c r="E12">
        <v>0</v>
      </c>
      <c r="F12">
        <v>0</v>
      </c>
      <c r="G12">
        <v>0</v>
      </c>
      <c r="H12">
        <v>0</v>
      </c>
      <c r="I12">
        <v>2.4175370067071201E-2</v>
      </c>
      <c r="J12">
        <v>1.64812588199237E-2</v>
      </c>
      <c r="K12">
        <v>1.6995586798483099E-2</v>
      </c>
      <c r="L12">
        <v>1.04550699693914E-2</v>
      </c>
      <c r="M12">
        <v>0</v>
      </c>
      <c r="N12">
        <v>5.1178518754233498E-3</v>
      </c>
      <c r="O12">
        <v>0.469854888573356</v>
      </c>
      <c r="P12">
        <v>0.67082966485278894</v>
      </c>
      <c r="Q12">
        <v>0.68445161963044598</v>
      </c>
      <c r="R12">
        <v>1.3177651471001601E-2</v>
      </c>
      <c r="S12">
        <v>0</v>
      </c>
      <c r="T12">
        <v>3.7274916848262403E-2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8" x14ac:dyDescent="0.2">
      <c r="A13" t="s">
        <v>8</v>
      </c>
      <c r="B13" t="s">
        <v>38</v>
      </c>
      <c r="C13">
        <v>1.3777455192210899E-2</v>
      </c>
      <c r="D13">
        <v>2.6687287977737999E-2</v>
      </c>
      <c r="E13">
        <v>3.08672127451717E-3</v>
      </c>
      <c r="F13">
        <v>0</v>
      </c>
      <c r="G13">
        <v>0</v>
      </c>
      <c r="H13">
        <v>4.2570773999999999E-3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5.8719273335145997E-2</v>
      </c>
      <c r="P13">
        <v>0.19674044999166099</v>
      </c>
      <c r="Q13">
        <v>0.177916647190591</v>
      </c>
      <c r="R13">
        <v>1.7332519728767998E-2</v>
      </c>
      <c r="S13">
        <v>4.0915400271858297E-2</v>
      </c>
      <c r="T13">
        <v>1.27915370758924E-2</v>
      </c>
      <c r="U13">
        <v>0.118565770878602</v>
      </c>
      <c r="V13">
        <v>8.6627128931530489E-2</v>
      </c>
      <c r="W13">
        <v>3.8019697767085199E-2</v>
      </c>
      <c r="X13">
        <v>0.46722358000000003</v>
      </c>
      <c r="Y13">
        <v>0.78294039999999998</v>
      </c>
      <c r="Z13">
        <v>0.36370024000000001</v>
      </c>
    </row>
    <row r="14" spans="1:28" x14ac:dyDescent="0.2">
      <c r="A14" t="s">
        <v>8</v>
      </c>
      <c r="B14" t="s">
        <v>40</v>
      </c>
      <c r="C14">
        <v>1.837813567338644</v>
      </c>
      <c r="D14">
        <v>1.7598144082003571</v>
      </c>
      <c r="E14">
        <v>1.697636582249942</v>
      </c>
      <c r="F14">
        <v>0.56459462999999999</v>
      </c>
      <c r="G14">
        <v>0.54639810999999994</v>
      </c>
      <c r="H14">
        <v>0.53865236500000002</v>
      </c>
      <c r="I14">
        <v>3.149305731820383</v>
      </c>
      <c r="J14">
        <v>3.500980085075422</v>
      </c>
      <c r="K14">
        <v>3.6821563415966931</v>
      </c>
      <c r="L14">
        <v>0.68079337760001635</v>
      </c>
      <c r="M14">
        <v>0.83937493063340596</v>
      </c>
      <c r="N14">
        <v>0.72498280185225061</v>
      </c>
      <c r="O14">
        <v>0.27854814725302002</v>
      </c>
      <c r="P14">
        <v>0.179034779134846</v>
      </c>
      <c r="Q14">
        <v>7.4518461521866503E-2</v>
      </c>
      <c r="R14">
        <v>0</v>
      </c>
      <c r="S14">
        <v>2.0576368461555101E-2</v>
      </c>
      <c r="T14">
        <v>9.5936528069192999E-3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8" x14ac:dyDescent="0.2">
      <c r="A15" t="s">
        <v>8</v>
      </c>
      <c r="B15" t="s">
        <v>46</v>
      </c>
      <c r="C15">
        <v>6.9883367880503797E-2</v>
      </c>
      <c r="D15">
        <v>0.1519194188402771</v>
      </c>
      <c r="E15">
        <v>7.5075148418125778E-2</v>
      </c>
      <c r="F15">
        <v>3.8520294500000003E-2</v>
      </c>
      <c r="G15">
        <v>2.0750089999999999E-2</v>
      </c>
      <c r="H15">
        <v>2.5974855000000002E-2</v>
      </c>
      <c r="I15">
        <v>1.16677665591711E-2</v>
      </c>
      <c r="J15">
        <v>1.2145813756891751E-2</v>
      </c>
      <c r="K15">
        <v>1.4722746617649459E-2</v>
      </c>
      <c r="L15">
        <v>7.8660557994895291E-4</v>
      </c>
      <c r="M15">
        <v>1.6613568062716899E-3</v>
      </c>
      <c r="N15">
        <v>0</v>
      </c>
      <c r="O15">
        <v>0.43086647264768718</v>
      </c>
      <c r="P15">
        <v>0.37615145039115339</v>
      </c>
      <c r="Q15">
        <v>0.34537014731104299</v>
      </c>
      <c r="R15">
        <v>5.4212117680129998E-2</v>
      </c>
      <c r="S15">
        <v>3.4996368030033899E-2</v>
      </c>
      <c r="T15">
        <v>6.2709565991782734E-2</v>
      </c>
      <c r="U15">
        <v>0.1332175195365958</v>
      </c>
      <c r="V15">
        <v>5.5745281432133788E-2</v>
      </c>
      <c r="W15">
        <v>0.15288324186151411</v>
      </c>
      <c r="X15">
        <v>0</v>
      </c>
      <c r="Y15">
        <v>0.21855042</v>
      </c>
      <c r="Z15">
        <v>0.11058274</v>
      </c>
    </row>
    <row r="16" spans="1:28" x14ac:dyDescent="0.2">
      <c r="A16" t="s">
        <v>8</v>
      </c>
      <c r="B16" t="s">
        <v>182</v>
      </c>
      <c r="C16">
        <v>0.89873864684073201</v>
      </c>
      <c r="D16">
        <v>0.92892703329702075</v>
      </c>
      <c r="E16">
        <v>0.94529383031487224</v>
      </c>
      <c r="F16">
        <v>0.1369968064</v>
      </c>
      <c r="G16">
        <v>0.16654867900000001</v>
      </c>
      <c r="H16">
        <v>0.27534317899999999</v>
      </c>
      <c r="I16">
        <v>3.4285475095672882E-2</v>
      </c>
      <c r="J16">
        <v>0.14888199573612471</v>
      </c>
      <c r="K16">
        <v>0.1221475648732343</v>
      </c>
      <c r="L16">
        <v>7.965464531239296</v>
      </c>
      <c r="M16">
        <v>9.7370203810882323</v>
      </c>
      <c r="N16">
        <v>9.4455224737868573</v>
      </c>
      <c r="O16">
        <v>4.25969003957584E-3</v>
      </c>
      <c r="P16">
        <v>0</v>
      </c>
      <c r="Q16">
        <v>1.6575638485684201E-3</v>
      </c>
      <c r="R16">
        <v>6.2665834778852696E-3</v>
      </c>
      <c r="S16">
        <v>3.6506692174363399E-2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0.42583564000000002</v>
      </c>
    </row>
    <row r="17" spans="1:26" x14ac:dyDescent="0.2">
      <c r="A17" t="s">
        <v>8</v>
      </c>
      <c r="B17" t="s">
        <v>183</v>
      </c>
      <c r="C17">
        <v>2.8304965420135</v>
      </c>
      <c r="D17">
        <v>3.00466801758833</v>
      </c>
      <c r="E17">
        <v>2.9380532802284498</v>
      </c>
      <c r="F17">
        <v>1.6942311000000001</v>
      </c>
      <c r="G17">
        <v>1.6263019999999999</v>
      </c>
      <c r="H17">
        <v>2.5946929700000001</v>
      </c>
      <c r="I17">
        <v>0.29831311223267459</v>
      </c>
      <c r="J17">
        <v>0.43198260096391788</v>
      </c>
      <c r="K17">
        <v>0.46324540050010699</v>
      </c>
      <c r="L17">
        <v>0.1173924789016126</v>
      </c>
      <c r="M17">
        <v>9.3095346050040301E-2</v>
      </c>
      <c r="N17">
        <v>7.9761114096671415E-2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">
      <c r="A18" t="s">
        <v>8</v>
      </c>
      <c r="B18" t="s">
        <v>184</v>
      </c>
      <c r="C18">
        <v>0.84608963083569289</v>
      </c>
      <c r="D18">
        <v>0.75194030356225594</v>
      </c>
      <c r="E18">
        <v>0.70097692943563494</v>
      </c>
      <c r="F18">
        <v>0.23532808</v>
      </c>
      <c r="G18">
        <v>0.20752979999999999</v>
      </c>
      <c r="H18">
        <v>0.22806560000000001</v>
      </c>
      <c r="I18">
        <v>1.8762758975701701</v>
      </c>
      <c r="J18">
        <v>5.3798250666019998</v>
      </c>
      <c r="K18">
        <v>3.27993297398447</v>
      </c>
      <c r="L18">
        <v>7.0954023606724093E-2</v>
      </c>
      <c r="M18">
        <v>5.9271979853790298E-2</v>
      </c>
      <c r="N18">
        <v>4.1801071896840188E-2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">
      <c r="A19" t="s">
        <v>8</v>
      </c>
      <c r="B19" t="s">
        <v>185</v>
      </c>
      <c r="C19">
        <v>0.60199915866196696</v>
      </c>
      <c r="D19">
        <v>0.51729762986628103</v>
      </c>
      <c r="E19">
        <v>0.47664387164650202</v>
      </c>
      <c r="F19">
        <v>1.2382932900000001</v>
      </c>
      <c r="G19">
        <v>1.5875916800000001</v>
      </c>
      <c r="H19">
        <v>1.642733</v>
      </c>
      <c r="I19">
        <v>8.9114448490742695E-2</v>
      </c>
      <c r="J19">
        <v>0.15602045043497631</v>
      </c>
      <c r="K19">
        <v>0.12820640204017381</v>
      </c>
      <c r="L19">
        <v>0.12512712817453711</v>
      </c>
      <c r="M19">
        <v>0.1648838555867104</v>
      </c>
      <c r="N19">
        <v>0.13203292009364229</v>
      </c>
      <c r="O19">
        <v>4.1657016068665301E-3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">
      <c r="A20" t="s">
        <v>8</v>
      </c>
      <c r="B20" t="s">
        <v>33</v>
      </c>
      <c r="C20">
        <v>0.29722772579355011</v>
      </c>
      <c r="D20">
        <v>0.34029961109261009</v>
      </c>
      <c r="E20">
        <v>0.3481870444127147</v>
      </c>
      <c r="F20">
        <v>5.2316776000000002E-2</v>
      </c>
      <c r="G20">
        <v>7.1461183999999997E-2</v>
      </c>
      <c r="H20">
        <v>4.9935143000000001E-2</v>
      </c>
      <c r="I20">
        <v>1.37286177780034E-2</v>
      </c>
      <c r="J20">
        <v>1.416576572935507E-2</v>
      </c>
      <c r="K20">
        <v>1.237228211369997E-2</v>
      </c>
      <c r="L20">
        <v>2.7706607731348819E-2</v>
      </c>
      <c r="M20">
        <v>2.888403454176755E-2</v>
      </c>
      <c r="N20">
        <v>2.2708157005554879E-2</v>
      </c>
      <c r="O20">
        <v>1.3905387215559111</v>
      </c>
      <c r="P20">
        <v>1.430276891093641</v>
      </c>
      <c r="Q20">
        <v>0.80562277298566376</v>
      </c>
      <c r="R20">
        <v>0.39057132866653399</v>
      </c>
      <c r="S20">
        <v>0.27825924354336468</v>
      </c>
      <c r="T20">
        <v>0.44393919971934093</v>
      </c>
      <c r="U20">
        <v>0.18311613591549669</v>
      </c>
      <c r="V20">
        <v>0.1364051862198073</v>
      </c>
      <c r="W20">
        <v>0.19809788737688891</v>
      </c>
      <c r="X20">
        <v>0</v>
      </c>
      <c r="Y20">
        <v>0</v>
      </c>
      <c r="Z20">
        <v>0.14993725999999999</v>
      </c>
    </row>
    <row r="21" spans="1:26" x14ac:dyDescent="0.2">
      <c r="A21" t="s">
        <v>8</v>
      </c>
      <c r="B21" t="s">
        <v>186</v>
      </c>
      <c r="C21">
        <v>6.3054580170142094E-2</v>
      </c>
      <c r="D21">
        <v>6.1629685656711598E-2</v>
      </c>
      <c r="E21">
        <v>7.8766814458555601E-2</v>
      </c>
      <c r="F21">
        <v>1.800767E-2</v>
      </c>
      <c r="G21">
        <v>3.1060448000000001E-2</v>
      </c>
      <c r="H21">
        <v>4.6922713999999997E-3</v>
      </c>
      <c r="I21">
        <v>4.53850380776551E-3</v>
      </c>
      <c r="J21">
        <v>1.7715627136568599E-3</v>
      </c>
      <c r="K21">
        <v>4.2672677894248796E-3</v>
      </c>
      <c r="L21">
        <v>7.7377052386586997E-3</v>
      </c>
      <c r="M21">
        <v>8.7928879130484902E-3</v>
      </c>
      <c r="N21">
        <v>5.88896268431067E-3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">
      <c r="A22" t="s">
        <v>8</v>
      </c>
      <c r="B22" t="s">
        <v>187</v>
      </c>
      <c r="C22">
        <v>0.24968558805387231</v>
      </c>
      <c r="D22">
        <v>0.29066452927530101</v>
      </c>
      <c r="E22">
        <v>0.250103329074923</v>
      </c>
      <c r="F22">
        <v>3.2831159999999998E-2</v>
      </c>
      <c r="G22">
        <v>2.0224513999999999E-2</v>
      </c>
      <c r="H22">
        <v>8.9825718999999998E-2</v>
      </c>
      <c r="I22">
        <v>0.1900249101160717</v>
      </c>
      <c r="J22">
        <v>0.64930804646478935</v>
      </c>
      <c r="K22">
        <v>0.30596506698461629</v>
      </c>
      <c r="L22">
        <v>0.26128873742164499</v>
      </c>
      <c r="M22">
        <v>0.29659649850340197</v>
      </c>
      <c r="N22">
        <v>0.21789558050515601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 t="s">
        <v>8</v>
      </c>
      <c r="B23" t="s">
        <v>298</v>
      </c>
      <c r="C23">
        <v>0.13227751949136099</v>
      </c>
      <c r="D23">
        <v>0.17983156753949739</v>
      </c>
      <c r="E23">
        <v>0.14682685804463819</v>
      </c>
      <c r="F23">
        <v>4.1137244999999998E-3</v>
      </c>
      <c r="G23">
        <v>4.0545940000000003E-2</v>
      </c>
      <c r="H23">
        <v>8.5753240000000005E-3</v>
      </c>
      <c r="I23">
        <v>1.5284498106136499E-2</v>
      </c>
      <c r="J23">
        <v>8.0705459174909792E-3</v>
      </c>
      <c r="K23">
        <v>7.9414857502442589E-3</v>
      </c>
      <c r="L23">
        <v>4.298949236741996E-2</v>
      </c>
      <c r="M23">
        <v>2.3757144221429299E-2</v>
      </c>
      <c r="N23">
        <v>4.3864849626790298E-2</v>
      </c>
      <c r="O23">
        <v>2.40667116468452</v>
      </c>
      <c r="P23">
        <v>0.98425300686118944</v>
      </c>
      <c r="Q23">
        <v>0.66160887965223503</v>
      </c>
      <c r="R23">
        <v>0.18253309839358811</v>
      </c>
      <c r="S23">
        <v>0.18981178484353811</v>
      </c>
      <c r="T23">
        <v>9.1065489161601149E-2</v>
      </c>
      <c r="U23">
        <v>0.1133318065276529</v>
      </c>
      <c r="V23">
        <v>4.2743168040249468E-2</v>
      </c>
      <c r="W23">
        <v>5.5040974362829842E-2</v>
      </c>
      <c r="X23">
        <v>0</v>
      </c>
      <c r="Y23">
        <v>0</v>
      </c>
      <c r="Z23">
        <v>0</v>
      </c>
    </row>
    <row r="24" spans="1:26" x14ac:dyDescent="0.2">
      <c r="A24" t="s">
        <v>9</v>
      </c>
      <c r="B24" t="s">
        <v>188</v>
      </c>
      <c r="C24">
        <v>0.26801411529818497</v>
      </c>
      <c r="D24">
        <v>0.19717435356141</v>
      </c>
      <c r="E24">
        <v>0.30766138122792502</v>
      </c>
      <c r="F24">
        <v>3.1085636E-2</v>
      </c>
      <c r="G24">
        <v>0.18383263</v>
      </c>
      <c r="H24">
        <v>1.6199990000000001E-2</v>
      </c>
      <c r="I24">
        <v>0.214890496127221</v>
      </c>
      <c r="J24">
        <v>0.189506690512035</v>
      </c>
      <c r="K24">
        <v>0.16644621358901801</v>
      </c>
      <c r="L24">
        <v>7.31647092187485E-2</v>
      </c>
      <c r="M24">
        <v>1.7005892611479102E-2</v>
      </c>
      <c r="N24">
        <v>3.3435047778501099E-2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">
      <c r="A25" t="s">
        <v>9</v>
      </c>
      <c r="B25" t="s">
        <v>189</v>
      </c>
      <c r="C25">
        <v>5.5563184268286603E-2</v>
      </c>
      <c r="D25">
        <v>0.14913384848980901</v>
      </c>
      <c r="E25">
        <v>0.14767979259036601</v>
      </c>
      <c r="F25">
        <v>1.9970729999999999E-2</v>
      </c>
      <c r="G25">
        <v>0</v>
      </c>
      <c r="H25">
        <v>0</v>
      </c>
      <c r="I25">
        <v>1.44054747038083E-2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t="s">
        <v>9</v>
      </c>
      <c r="B26" t="s">
        <v>34</v>
      </c>
      <c r="C26">
        <v>0.42407142218822003</v>
      </c>
      <c r="D26">
        <v>0.24668525595073501</v>
      </c>
      <c r="E26">
        <v>0.30097317201472912</v>
      </c>
      <c r="F26">
        <v>0</v>
      </c>
      <c r="G26">
        <v>0.15182246299999999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1.2470070196842001E-2</v>
      </c>
      <c r="N26">
        <v>0</v>
      </c>
      <c r="O26">
        <v>0.77184307959813281</v>
      </c>
      <c r="P26">
        <v>0.45811726467747788</v>
      </c>
      <c r="Q26">
        <v>1.0425069844203381</v>
      </c>
      <c r="R26">
        <v>2.446655193928132</v>
      </c>
      <c r="S26">
        <v>2.975029307480419</v>
      </c>
      <c r="T26">
        <v>2.6207741038840111</v>
      </c>
      <c r="U26">
        <v>3.1896627807600129</v>
      </c>
      <c r="V26">
        <v>3.3412433179521281</v>
      </c>
      <c r="W26">
        <v>3.802496052928348</v>
      </c>
      <c r="X26">
        <v>3.8651608</v>
      </c>
      <c r="Y26">
        <v>10.010623000000001</v>
      </c>
      <c r="Z26">
        <v>13.104620329999999</v>
      </c>
    </row>
    <row r="27" spans="1:26" x14ac:dyDescent="0.2">
      <c r="A27" t="s">
        <v>9</v>
      </c>
      <c r="B27" t="s">
        <v>190</v>
      </c>
      <c r="C27">
        <v>0.45807586427866132</v>
      </c>
      <c r="D27">
        <v>0.47468433024954437</v>
      </c>
      <c r="E27">
        <v>0.4355715037198466</v>
      </c>
      <c r="F27">
        <v>1.5542810000000001E-2</v>
      </c>
      <c r="G27">
        <v>0</v>
      </c>
      <c r="H27">
        <v>2.1438341999999999E-2</v>
      </c>
      <c r="I27">
        <v>0</v>
      </c>
      <c r="J27">
        <v>0</v>
      </c>
      <c r="K27">
        <v>0</v>
      </c>
      <c r="L27">
        <v>7.6252456996450209E-3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">
      <c r="A28" t="s">
        <v>9</v>
      </c>
      <c r="B28" t="s">
        <v>33</v>
      </c>
      <c r="C28">
        <v>9.9066463524944748E-2</v>
      </c>
      <c r="D28">
        <v>9.3193838442564209E-2</v>
      </c>
      <c r="E28">
        <v>0.11510295333283239</v>
      </c>
      <c r="F28">
        <v>2.8865229999999999E-2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2.2178584735607179</v>
      </c>
      <c r="P28">
        <v>2.514670690036342</v>
      </c>
      <c r="Q28">
        <v>1.535702343241562</v>
      </c>
      <c r="R28">
        <v>0.59295317888559052</v>
      </c>
      <c r="S28">
        <v>0.57543349898952101</v>
      </c>
      <c r="T28">
        <v>0.75930860932513744</v>
      </c>
      <c r="U28">
        <v>0.67943225172184518</v>
      </c>
      <c r="V28">
        <v>0.24374940583705679</v>
      </c>
      <c r="W28">
        <v>0.429591760018044</v>
      </c>
      <c r="X28">
        <v>1.1194725999999999</v>
      </c>
      <c r="Y28">
        <v>1.7586868</v>
      </c>
      <c r="Z28">
        <v>1.9472419599999999</v>
      </c>
    </row>
    <row r="29" spans="1:26" x14ac:dyDescent="0.2">
      <c r="A29" t="s">
        <v>9</v>
      </c>
      <c r="B29" t="s">
        <v>192</v>
      </c>
      <c r="C29">
        <v>0.45386699448335083</v>
      </c>
      <c r="D29">
        <v>0.55241782990805099</v>
      </c>
      <c r="E29">
        <v>0.45212670023295998</v>
      </c>
      <c r="F29">
        <v>9.7335874999999988E-2</v>
      </c>
      <c r="G29">
        <v>0.225378828</v>
      </c>
      <c r="H29">
        <v>0.13271959</v>
      </c>
      <c r="I29">
        <v>0</v>
      </c>
      <c r="J29">
        <v>2.1790894975969402E-3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">
      <c r="A30" t="s">
        <v>9</v>
      </c>
      <c r="B30" t="s">
        <v>193</v>
      </c>
      <c r="C30">
        <v>0.108020392638946</v>
      </c>
      <c r="D30">
        <v>8.3521954358415695E-2</v>
      </c>
      <c r="E30">
        <v>0.120707146614564</v>
      </c>
      <c r="F30">
        <v>2.8744467999999999E-2</v>
      </c>
      <c r="G30">
        <v>0</v>
      </c>
      <c r="H30">
        <v>5.9919699999999999E-2</v>
      </c>
      <c r="I30">
        <v>0</v>
      </c>
      <c r="J30">
        <v>0</v>
      </c>
      <c r="K30">
        <v>0</v>
      </c>
      <c r="L30">
        <v>0</v>
      </c>
      <c r="M30">
        <v>4.4764575158112796E-3</v>
      </c>
      <c r="N30">
        <v>0</v>
      </c>
      <c r="O30">
        <v>8.3475155164832199E-2</v>
      </c>
      <c r="P30">
        <v>1.69648640367378E-2</v>
      </c>
      <c r="Q30">
        <v>7.1339965985783099E-2</v>
      </c>
      <c r="R30">
        <v>0.27775225740985798</v>
      </c>
      <c r="S30">
        <v>0.29884280402465402</v>
      </c>
      <c r="T30">
        <v>0.29104120143297602</v>
      </c>
      <c r="U30">
        <v>0.280081330331857</v>
      </c>
      <c r="V30">
        <v>6.65535624181883E-2</v>
      </c>
      <c r="W30">
        <v>0.24265092850161599</v>
      </c>
      <c r="X30">
        <v>0</v>
      </c>
      <c r="Y30">
        <v>0.68875759999999997</v>
      </c>
      <c r="Z30">
        <v>0</v>
      </c>
    </row>
    <row r="31" spans="1:26" x14ac:dyDescent="0.2">
      <c r="A31" t="s">
        <v>9</v>
      </c>
      <c r="B31" t="s">
        <v>298</v>
      </c>
      <c r="C31">
        <v>1.1771169132920509</v>
      </c>
      <c r="D31">
        <v>1.115763449478729</v>
      </c>
      <c r="E31">
        <v>1.156378221988428</v>
      </c>
      <c r="F31">
        <v>0.138531079</v>
      </c>
      <c r="G31">
        <v>0</v>
      </c>
      <c r="H31">
        <v>3.1268135000000002E-2</v>
      </c>
      <c r="I31">
        <v>0.31672094881091339</v>
      </c>
      <c r="J31">
        <v>0.21908185225975241</v>
      </c>
      <c r="K31">
        <v>0.31757766572275498</v>
      </c>
      <c r="L31">
        <v>2.176886631005583E-2</v>
      </c>
      <c r="M31">
        <v>2.5002946735919952E-2</v>
      </c>
      <c r="N31">
        <v>4.0040985067650497E-2</v>
      </c>
      <c r="O31">
        <v>12.000187976865419</v>
      </c>
      <c r="P31">
        <v>8.4747059074495787</v>
      </c>
      <c r="Q31">
        <v>6.9928232159615158</v>
      </c>
      <c r="R31">
        <v>0.30983250258822242</v>
      </c>
      <c r="S31">
        <v>0.38339938004789897</v>
      </c>
      <c r="T31">
        <v>0.1061036411353164</v>
      </c>
      <c r="U31">
        <v>0.25720158862269088</v>
      </c>
      <c r="V31">
        <v>0.52170065888099915</v>
      </c>
      <c r="W31">
        <v>0.15702578753477181</v>
      </c>
      <c r="X31">
        <v>0</v>
      </c>
      <c r="Y31">
        <v>0</v>
      </c>
      <c r="Z31">
        <v>0</v>
      </c>
    </row>
    <row r="32" spans="1:26" x14ac:dyDescent="0.2">
      <c r="A32" t="s">
        <v>10</v>
      </c>
      <c r="B32" t="s">
        <v>39</v>
      </c>
      <c r="C32">
        <v>0.7722720268181944</v>
      </c>
      <c r="D32">
        <v>0.77928800031609291</v>
      </c>
      <c r="E32">
        <v>0.70905914180506469</v>
      </c>
      <c r="F32">
        <v>4.5296240000000002E-2</v>
      </c>
      <c r="G32">
        <v>2.9763395000000002E-2</v>
      </c>
      <c r="H32">
        <v>0</v>
      </c>
      <c r="I32">
        <v>1.0998925044329701E-3</v>
      </c>
      <c r="J32">
        <v>2.07889179658688E-3</v>
      </c>
      <c r="K32">
        <v>0</v>
      </c>
      <c r="L32">
        <v>5.5533009319473099E-3</v>
      </c>
      <c r="M32">
        <v>0</v>
      </c>
      <c r="N32">
        <v>3.26005579990203E-3</v>
      </c>
      <c r="O32">
        <v>0</v>
      </c>
      <c r="P32">
        <v>0</v>
      </c>
      <c r="Q32">
        <v>6.6590200597585903E-3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">
      <c r="A33" t="s">
        <v>10</v>
      </c>
      <c r="B33" t="s">
        <v>38</v>
      </c>
      <c r="C33">
        <v>4.1670208569006023E-2</v>
      </c>
      <c r="D33">
        <v>2.311148490373275E-2</v>
      </c>
      <c r="E33">
        <v>5.0505373111895902E-2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0.15812882457394661</v>
      </c>
      <c r="P33">
        <v>0.16419924988461279</v>
      </c>
      <c r="Q33">
        <v>0.36700117575570101</v>
      </c>
      <c r="R33">
        <v>7.0166537541222998E-2</v>
      </c>
      <c r="S33">
        <v>4.8143380105435001E-2</v>
      </c>
      <c r="T33">
        <v>9.9505474858827603E-2</v>
      </c>
      <c r="U33">
        <v>0.1399317406143345</v>
      </c>
      <c r="V33">
        <v>0.15693945753837421</v>
      </c>
      <c r="W33">
        <v>0.34724456807758802</v>
      </c>
      <c r="X33">
        <v>0</v>
      </c>
      <c r="Y33">
        <v>0.32959550500000001</v>
      </c>
      <c r="Z33">
        <v>6.1272368000000001E-2</v>
      </c>
    </row>
    <row r="34" spans="1:26" x14ac:dyDescent="0.2">
      <c r="A34" t="s">
        <v>10</v>
      </c>
      <c r="B34" t="s">
        <v>40</v>
      </c>
      <c r="C34">
        <v>1.1532434017084E-2</v>
      </c>
      <c r="D34">
        <v>3.9466480021223403E-2</v>
      </c>
      <c r="E34">
        <v>4.97106785902157E-3</v>
      </c>
      <c r="F34">
        <v>0</v>
      </c>
      <c r="G34">
        <v>0</v>
      </c>
      <c r="H34">
        <v>0</v>
      </c>
      <c r="I34">
        <v>0.1953266591678042</v>
      </c>
      <c r="J34">
        <v>0.15313155705543399</v>
      </c>
      <c r="K34">
        <v>0.2037586732243695</v>
      </c>
      <c r="L34">
        <v>8.2816671393227004E-4</v>
      </c>
      <c r="M34">
        <v>5.8289447760179599E-3</v>
      </c>
      <c r="N34">
        <v>0</v>
      </c>
      <c r="O34">
        <v>1.4071041828209301</v>
      </c>
      <c r="P34">
        <v>1.08120949318729</v>
      </c>
      <c r="Q34">
        <v>1.1533767919487701</v>
      </c>
      <c r="R34">
        <v>9.6494415610237708E-2</v>
      </c>
      <c r="S34">
        <v>7.9781074919269598E-2</v>
      </c>
      <c r="T34">
        <v>4.9857309594327499E-2</v>
      </c>
      <c r="U34">
        <v>7.3889947101769007E-2</v>
      </c>
      <c r="V34">
        <v>0.119103161312497</v>
      </c>
      <c r="W34">
        <v>0.26937072400571399</v>
      </c>
      <c r="X34">
        <v>0.45903601999999999</v>
      </c>
      <c r="Y34">
        <v>1.0897287</v>
      </c>
      <c r="Z34">
        <v>0.83376324000000002</v>
      </c>
    </row>
    <row r="35" spans="1:26" x14ac:dyDescent="0.2">
      <c r="A35" t="s">
        <v>10</v>
      </c>
      <c r="B35" t="s">
        <v>46</v>
      </c>
      <c r="C35">
        <v>3.4464344486511402E-2</v>
      </c>
      <c r="D35">
        <v>5.0820430902615087E-2</v>
      </c>
      <c r="E35">
        <v>3.9657698955436999E-2</v>
      </c>
      <c r="F35">
        <v>1.6051248000000001E-2</v>
      </c>
      <c r="G35">
        <v>1.5820491999999999E-2</v>
      </c>
      <c r="H35">
        <v>0</v>
      </c>
      <c r="I35">
        <v>1.2471979459173501E-2</v>
      </c>
      <c r="J35">
        <v>2.2279253518707499E-3</v>
      </c>
      <c r="K35">
        <v>7.3380860118899801E-3</v>
      </c>
      <c r="L35">
        <v>0</v>
      </c>
      <c r="M35">
        <v>2.2765148158440602E-3</v>
      </c>
      <c r="N35">
        <v>0</v>
      </c>
      <c r="O35">
        <v>0.299917088775431</v>
      </c>
      <c r="P35">
        <v>0.22767204365718099</v>
      </c>
      <c r="Q35">
        <v>0.26821252773093501</v>
      </c>
      <c r="R35">
        <v>4.0595668241311403E-2</v>
      </c>
      <c r="S35">
        <v>0.18030393475399681</v>
      </c>
      <c r="T35">
        <v>0</v>
      </c>
      <c r="U35">
        <v>0.14863453299296711</v>
      </c>
      <c r="V35">
        <v>0</v>
      </c>
      <c r="W35">
        <v>0.18802345688294131</v>
      </c>
      <c r="X35">
        <v>0</v>
      </c>
      <c r="Y35">
        <v>0.25640687000000001</v>
      </c>
      <c r="Z35">
        <v>0</v>
      </c>
    </row>
    <row r="36" spans="1:26" x14ac:dyDescent="0.2">
      <c r="A36" t="s">
        <v>10</v>
      </c>
      <c r="B36" t="s">
        <v>195</v>
      </c>
      <c r="C36">
        <v>0.24370903653717499</v>
      </c>
      <c r="D36">
        <v>0.101945665855737</v>
      </c>
      <c r="E36">
        <v>0.17768843465845091</v>
      </c>
      <c r="F36">
        <v>5.4871629999999998E-2</v>
      </c>
      <c r="G36">
        <v>3.2449655000000001E-2</v>
      </c>
      <c r="H36">
        <v>5.7191703000000003E-2</v>
      </c>
      <c r="I36">
        <v>3.466296532800397</v>
      </c>
      <c r="J36">
        <v>2.7380276377255268</v>
      </c>
      <c r="K36">
        <v>3.4638529402023601</v>
      </c>
      <c r="L36">
        <v>4.1940684927488037E-2</v>
      </c>
      <c r="M36">
        <v>4.504505279604374E-2</v>
      </c>
      <c r="N36">
        <v>2.72608797265197E-2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">
      <c r="A37" t="s">
        <v>10</v>
      </c>
      <c r="B37" t="s">
        <v>183</v>
      </c>
      <c r="C37">
        <v>6.41857874902189</v>
      </c>
      <c r="D37">
        <v>6.6981141660504697</v>
      </c>
      <c r="E37">
        <v>6.4199086946719799</v>
      </c>
      <c r="F37">
        <v>1.0406606</v>
      </c>
      <c r="G37">
        <v>1.1490942</v>
      </c>
      <c r="H37">
        <v>1.0520403</v>
      </c>
      <c r="I37">
        <v>0.62452787002922094</v>
      </c>
      <c r="J37">
        <v>0.64273878206747392</v>
      </c>
      <c r="K37">
        <v>0.60804581284051207</v>
      </c>
      <c r="L37">
        <v>0.217672772078741</v>
      </c>
      <c r="M37">
        <v>0.102225495417288</v>
      </c>
      <c r="N37">
        <v>9.03454021857822E-2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">
      <c r="A38" t="s">
        <v>10</v>
      </c>
      <c r="B38" t="s">
        <v>196</v>
      </c>
      <c r="C38">
        <v>1.04971087178749E-2</v>
      </c>
      <c r="D38">
        <v>0</v>
      </c>
      <c r="E38">
        <v>1.3750281806568E-2</v>
      </c>
      <c r="F38">
        <v>0</v>
      </c>
      <c r="G38">
        <v>0</v>
      </c>
      <c r="H38">
        <v>1.9510638E-2</v>
      </c>
      <c r="I38">
        <v>8.4286499287073696E-3</v>
      </c>
      <c r="J38">
        <v>0</v>
      </c>
      <c r="K38">
        <v>0</v>
      </c>
      <c r="L38">
        <v>5.7005984803293599E-3</v>
      </c>
      <c r="M38">
        <v>2.1350714916850401E-2</v>
      </c>
      <c r="N38">
        <v>2.0268066637706E-3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">
      <c r="A39" t="s">
        <v>10</v>
      </c>
      <c r="B39" t="s">
        <v>193</v>
      </c>
      <c r="C39">
        <v>0.1330142351779561</v>
      </c>
      <c r="D39">
        <v>9.1647240112213105E-2</v>
      </c>
      <c r="E39">
        <v>0.12132336364319531</v>
      </c>
      <c r="F39">
        <v>7.6673226000000001E-3</v>
      </c>
      <c r="G39">
        <v>0</v>
      </c>
      <c r="H39">
        <v>0</v>
      </c>
      <c r="I39">
        <v>0</v>
      </c>
      <c r="J39">
        <v>0</v>
      </c>
      <c r="K39">
        <v>0</v>
      </c>
      <c r="L39">
        <v>3.4452957685876099E-3</v>
      </c>
      <c r="M39">
        <v>0</v>
      </c>
      <c r="N39">
        <v>0</v>
      </c>
      <c r="O39">
        <v>4.1945694826272403E-2</v>
      </c>
      <c r="P39">
        <v>5.6487489673308092E-2</v>
      </c>
      <c r="Q39">
        <v>4.9687364042010802E-2</v>
      </c>
      <c r="R39">
        <v>0.29032656167511101</v>
      </c>
      <c r="S39">
        <v>0.26701811669771203</v>
      </c>
      <c r="T39">
        <v>0.33331534242324101</v>
      </c>
      <c r="U39">
        <v>0.19326008389983401</v>
      </c>
      <c r="V39">
        <v>0.217789055701405</v>
      </c>
      <c r="W39">
        <v>0.210811217201714</v>
      </c>
      <c r="X39">
        <v>0</v>
      </c>
      <c r="Y39">
        <v>0</v>
      </c>
      <c r="Z39">
        <v>0</v>
      </c>
    </row>
    <row r="40" spans="1:26" x14ac:dyDescent="0.2">
      <c r="A40" t="s">
        <v>10</v>
      </c>
      <c r="B40" t="s">
        <v>298</v>
      </c>
      <c r="C40">
        <v>0.71393417074802712</v>
      </c>
      <c r="D40">
        <v>0.74815000874900528</v>
      </c>
      <c r="E40">
        <v>0.68994702036522104</v>
      </c>
      <c r="F40">
        <v>0</v>
      </c>
      <c r="G40">
        <v>7.3777884000000002E-2</v>
      </c>
      <c r="H40">
        <v>8.6687650000000002E-3</v>
      </c>
      <c r="I40">
        <v>0.58868740520663276</v>
      </c>
      <c r="J40">
        <v>0.92179106337546668</v>
      </c>
      <c r="K40">
        <v>0.73351362876115778</v>
      </c>
      <c r="L40">
        <v>8.3181553701874633E-2</v>
      </c>
      <c r="M40">
        <v>5.5917432889702551E-2</v>
      </c>
      <c r="N40">
        <v>4.1171243376567523E-2</v>
      </c>
      <c r="O40">
        <v>9.1933241358938407</v>
      </c>
      <c r="P40">
        <v>9.4387981088093991</v>
      </c>
      <c r="Q40">
        <v>6.7833589219003381</v>
      </c>
      <c r="R40">
        <v>1.364497130672663</v>
      </c>
      <c r="S40">
        <v>1.2937220859734031</v>
      </c>
      <c r="T40">
        <v>1.333693151535188</v>
      </c>
      <c r="U40">
        <v>0.97834356479335094</v>
      </c>
      <c r="V40">
        <v>0.56290083146248149</v>
      </c>
      <c r="W40">
        <v>0.81573565897300926</v>
      </c>
      <c r="X40">
        <v>0.46202662000000011</v>
      </c>
      <c r="Y40">
        <v>0.26285857000000001</v>
      </c>
      <c r="Z40">
        <v>0.12254479</v>
      </c>
    </row>
    <row r="41" spans="1:26" x14ac:dyDescent="0.2">
      <c r="A41" t="s">
        <v>11</v>
      </c>
      <c r="B41" t="s">
        <v>194</v>
      </c>
      <c r="C41">
        <v>7.5474124496232503E-2</v>
      </c>
      <c r="D41">
        <v>5.5702940230183497E-2</v>
      </c>
      <c r="E41">
        <v>2.15055985571504E-2</v>
      </c>
      <c r="F41">
        <v>1.7004762E-2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4.51070598479291E-2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">
      <c r="A42" t="s">
        <v>11</v>
      </c>
      <c r="B42" t="s">
        <v>298</v>
      </c>
      <c r="C42">
        <v>2.02030109439333E-2</v>
      </c>
      <c r="D42">
        <v>0</v>
      </c>
      <c r="E42">
        <v>6.4345833020214892E-3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1.25945171176433</v>
      </c>
      <c r="P42">
        <v>1.3698216245777199</v>
      </c>
      <c r="Q42">
        <v>0.47558778796126899</v>
      </c>
      <c r="R42">
        <v>0.42264471762665112</v>
      </c>
      <c r="S42">
        <v>7.4221643664190193E-2</v>
      </c>
      <c r="T42">
        <v>0.145557706968554</v>
      </c>
      <c r="U42">
        <v>7.2180669522910509E-2</v>
      </c>
      <c r="V42">
        <v>0.35434781018962003</v>
      </c>
      <c r="W42">
        <v>0.17388166303285499</v>
      </c>
      <c r="X42">
        <v>0</v>
      </c>
      <c r="Y42">
        <v>0</v>
      </c>
      <c r="Z42">
        <v>0</v>
      </c>
    </row>
    <row r="43" spans="1:26" x14ac:dyDescent="0.2">
      <c r="A43" t="s">
        <v>12</v>
      </c>
      <c r="B43" t="s">
        <v>197</v>
      </c>
      <c r="C43">
        <v>2.12208991854714E-2</v>
      </c>
      <c r="D43">
        <v>3.9398745787777398E-2</v>
      </c>
      <c r="E43">
        <v>3.3234387916134402E-2</v>
      </c>
      <c r="F43">
        <v>0</v>
      </c>
      <c r="G43">
        <v>0.11210542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">
      <c r="A44" t="s">
        <v>12</v>
      </c>
      <c r="B44" t="s">
        <v>198</v>
      </c>
      <c r="C44">
        <v>2.8527026349573801E-2</v>
      </c>
      <c r="D44">
        <v>0.181714014777352</v>
      </c>
      <c r="E44">
        <v>0.11516119335688001</v>
      </c>
      <c r="F44">
        <v>2.3689379999999999E-2</v>
      </c>
      <c r="G44">
        <v>0</v>
      </c>
      <c r="H44">
        <v>0</v>
      </c>
      <c r="I44">
        <v>4.68723421119895E-3</v>
      </c>
      <c r="J44">
        <v>0</v>
      </c>
      <c r="K44">
        <v>0</v>
      </c>
      <c r="L44">
        <v>3.2167095316793601E-3</v>
      </c>
      <c r="M44">
        <v>4.3775160177681703E-3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9.2320355140565191E-2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">
      <c r="A45" t="s">
        <v>12</v>
      </c>
      <c r="B45" t="s">
        <v>178</v>
      </c>
      <c r="C45">
        <v>9.3092091640456596E-3</v>
      </c>
      <c r="D45">
        <v>2.1951536155969401E-2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0.61621166195046073</v>
      </c>
      <c r="P45">
        <v>0.86715510788241745</v>
      </c>
      <c r="Q45">
        <v>0.62348491113516202</v>
      </c>
      <c r="R45">
        <v>7.1421225480449504E-2</v>
      </c>
      <c r="S45">
        <v>8.5405234351962997E-2</v>
      </c>
      <c r="T45">
        <v>0.13833885429386811</v>
      </c>
      <c r="U45">
        <v>5.9545421538014703E-2</v>
      </c>
      <c r="V45">
        <v>0.18688526987795001</v>
      </c>
      <c r="W45">
        <v>0</v>
      </c>
      <c r="X45">
        <v>0</v>
      </c>
      <c r="Y45">
        <v>0.75165784000000002</v>
      </c>
      <c r="Z45">
        <v>0</v>
      </c>
    </row>
    <row r="46" spans="1:26" x14ac:dyDescent="0.2">
      <c r="A46" t="s">
        <v>12</v>
      </c>
      <c r="B46" t="s">
        <v>298</v>
      </c>
      <c r="C46">
        <v>0.37582744287728898</v>
      </c>
      <c r="D46">
        <v>0.3131748728571998</v>
      </c>
      <c r="E46">
        <v>0.205249117006087</v>
      </c>
      <c r="F46">
        <v>0</v>
      </c>
      <c r="G46">
        <v>0</v>
      </c>
      <c r="H46">
        <v>0</v>
      </c>
      <c r="I46">
        <v>0.18745908800654101</v>
      </c>
      <c r="J46">
        <v>0.16030116566132199</v>
      </c>
      <c r="K46">
        <v>0.112699132263567</v>
      </c>
      <c r="L46">
        <v>1.2732986827565299E-2</v>
      </c>
      <c r="M46">
        <v>3.88366888840518E-3</v>
      </c>
      <c r="N46">
        <v>1.11414948722452E-2</v>
      </c>
      <c r="O46">
        <v>3.127958537674258</v>
      </c>
      <c r="P46">
        <v>3.4708622448385982</v>
      </c>
      <c r="Q46">
        <v>1.6983665265587791</v>
      </c>
      <c r="R46">
        <v>3.3938280323339301E-2</v>
      </c>
      <c r="S46">
        <v>7.1208187395266201E-2</v>
      </c>
      <c r="T46">
        <v>0</v>
      </c>
      <c r="U46">
        <v>2.76500784815359E-2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">
      <c r="A47" t="s">
        <v>13</v>
      </c>
      <c r="B47" t="s">
        <v>39</v>
      </c>
      <c r="C47">
        <v>2.3167833859714548</v>
      </c>
      <c r="D47">
        <v>2.856482448366759</v>
      </c>
      <c r="E47">
        <v>2.8111088149094421</v>
      </c>
      <c r="F47">
        <v>0.154115426</v>
      </c>
      <c r="G47">
        <v>0.218709612</v>
      </c>
      <c r="H47">
        <v>0.13848901999999999</v>
      </c>
      <c r="I47">
        <v>3.3911422584043782E-2</v>
      </c>
      <c r="J47">
        <v>3.2704866408678673E-2</v>
      </c>
      <c r="K47">
        <v>1.31081606968387E-2</v>
      </c>
      <c r="L47">
        <v>5.1590813522526154E-3</v>
      </c>
      <c r="M47">
        <v>1.21913132806162E-3</v>
      </c>
      <c r="N47">
        <v>3.2626965903434198E-3</v>
      </c>
      <c r="O47">
        <v>4.1338126743401551E-2</v>
      </c>
      <c r="P47">
        <v>0.1349393197764393</v>
      </c>
      <c r="Q47">
        <v>0.14356804101841289</v>
      </c>
      <c r="R47">
        <v>0.14021651937224511</v>
      </c>
      <c r="S47">
        <v>0.16379105744266129</v>
      </c>
      <c r="T47">
        <v>4.7684907200636853E-2</v>
      </c>
      <c r="U47">
        <v>0.1451154320953178</v>
      </c>
      <c r="V47">
        <v>0.1392717938967582</v>
      </c>
      <c r="W47">
        <v>0.1124577099466206</v>
      </c>
      <c r="X47">
        <v>0</v>
      </c>
      <c r="Y47">
        <v>0</v>
      </c>
      <c r="Z47">
        <v>0</v>
      </c>
    </row>
    <row r="48" spans="1:26" x14ac:dyDescent="0.2">
      <c r="A48" t="s">
        <v>13</v>
      </c>
      <c r="B48" t="s">
        <v>38</v>
      </c>
      <c r="C48">
        <v>1.834160503756601E-2</v>
      </c>
      <c r="D48">
        <v>2.5538628268882299E-2</v>
      </c>
      <c r="E48">
        <v>2.8024723829563399E-2</v>
      </c>
      <c r="F48">
        <v>0</v>
      </c>
      <c r="G48">
        <v>0</v>
      </c>
      <c r="H48">
        <v>0</v>
      </c>
      <c r="I48">
        <v>1.34747964308266E-3</v>
      </c>
      <c r="J48">
        <v>0</v>
      </c>
      <c r="K48">
        <v>0</v>
      </c>
      <c r="L48">
        <v>0</v>
      </c>
      <c r="M48">
        <v>0</v>
      </c>
      <c r="N48">
        <v>0</v>
      </c>
      <c r="O48">
        <v>0.261734287987271</v>
      </c>
      <c r="P48">
        <v>0.43320908981603901</v>
      </c>
      <c r="Q48">
        <v>0.37247724894739298</v>
      </c>
      <c r="R48">
        <v>6.7170370167223103E-2</v>
      </c>
      <c r="S48">
        <v>1.6253964600878829E-2</v>
      </c>
      <c r="T48">
        <v>2.02937465845382E-2</v>
      </c>
      <c r="U48">
        <v>0.23609815498567199</v>
      </c>
      <c r="V48">
        <v>0.15716615355364291</v>
      </c>
      <c r="W48">
        <v>7.7798661754755305E-2</v>
      </c>
      <c r="X48">
        <v>0.46054265</v>
      </c>
      <c r="Y48">
        <v>0.53935774999999997</v>
      </c>
      <c r="Z48">
        <v>0.14339979</v>
      </c>
    </row>
    <row r="49" spans="1:26" x14ac:dyDescent="0.2">
      <c r="A49" t="s">
        <v>13</v>
      </c>
      <c r="B49" t="s">
        <v>32</v>
      </c>
      <c r="C49">
        <v>2.0904852515186589E-2</v>
      </c>
      <c r="D49">
        <v>1.7715324305865209E-2</v>
      </c>
      <c r="E49">
        <v>3.434282708348986E-2</v>
      </c>
      <c r="F49">
        <v>1.9572437000000002E-2</v>
      </c>
      <c r="G49">
        <v>0</v>
      </c>
      <c r="H49">
        <v>1.0199992E-2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0.1791352392844795</v>
      </c>
      <c r="P49">
        <v>0.300468919081399</v>
      </c>
      <c r="Q49">
        <v>0.27296948428550338</v>
      </c>
      <c r="R49">
        <v>0.32954413004874761</v>
      </c>
      <c r="S49">
        <v>0.37802694130592651</v>
      </c>
      <c r="T49">
        <v>0.49314208995904829</v>
      </c>
      <c r="U49">
        <v>0.15279600945129959</v>
      </c>
      <c r="V49">
        <v>0.16674588839243309</v>
      </c>
      <c r="W49">
        <v>0.13690699947372351</v>
      </c>
      <c r="X49">
        <v>0</v>
      </c>
      <c r="Y49">
        <v>0</v>
      </c>
      <c r="Z49">
        <v>0</v>
      </c>
    </row>
    <row r="50" spans="1:26" x14ac:dyDescent="0.2">
      <c r="A50" t="s">
        <v>13</v>
      </c>
      <c r="B50" t="s">
        <v>298</v>
      </c>
      <c r="C50">
        <v>4.8570924142260212E-2</v>
      </c>
      <c r="D50">
        <v>9.564920440498291E-2</v>
      </c>
      <c r="E50">
        <v>7.8810024798978001E-2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1.62276572623718E-3</v>
      </c>
      <c r="O50">
        <v>0.43728789663957768</v>
      </c>
      <c r="P50">
        <v>0.49053435055289052</v>
      </c>
      <c r="Q50">
        <v>0.45395316393342439</v>
      </c>
      <c r="R50">
        <v>0.4834867983517645</v>
      </c>
      <c r="S50">
        <v>0.45263695403580162</v>
      </c>
      <c r="T50">
        <v>0.64869149862032227</v>
      </c>
      <c r="U50">
        <v>0.18967953838333629</v>
      </c>
      <c r="V50">
        <v>0.1730495001718502</v>
      </c>
      <c r="W50">
        <v>0.51034508683557667</v>
      </c>
      <c r="X50">
        <v>0</v>
      </c>
      <c r="Y50">
        <v>0</v>
      </c>
      <c r="Z50">
        <v>0</v>
      </c>
    </row>
    <row r="51" spans="1:26" x14ac:dyDescent="0.2">
      <c r="A51" t="s">
        <v>14</v>
      </c>
      <c r="B51" t="s">
        <v>199</v>
      </c>
      <c r="C51">
        <v>5.3071864653558398E-2</v>
      </c>
      <c r="D51">
        <v>6.2744478248844299E-2</v>
      </c>
      <c r="E51">
        <v>4.9391297813181002E-2</v>
      </c>
      <c r="F51">
        <v>1.6435213000000001E-2</v>
      </c>
      <c r="G51">
        <v>6.4834705999999992E-2</v>
      </c>
      <c r="H51">
        <v>0</v>
      </c>
      <c r="I51">
        <v>1.21335509962711E-2</v>
      </c>
      <c r="J51">
        <v>0.25182124056541838</v>
      </c>
      <c r="K51">
        <v>1.7669365923129149E-2</v>
      </c>
      <c r="L51">
        <v>0.26617522663041898</v>
      </c>
      <c r="M51">
        <v>0.61803591662415003</v>
      </c>
      <c r="N51">
        <v>0.367249445103909</v>
      </c>
      <c r="O51">
        <v>2.0385419708703001E-2</v>
      </c>
      <c r="P51">
        <v>0</v>
      </c>
      <c r="Q51">
        <v>0</v>
      </c>
      <c r="R51">
        <v>0.1823205556279269</v>
      </c>
      <c r="S51">
        <v>2.12524183166359E-2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">
      <c r="A52" t="s">
        <v>14</v>
      </c>
      <c r="B52" t="s">
        <v>200</v>
      </c>
      <c r="C52">
        <v>1.1081250149849699E-2</v>
      </c>
      <c r="D52">
        <v>1.1229771453407301E-2</v>
      </c>
      <c r="E52">
        <v>0</v>
      </c>
      <c r="F52">
        <v>4.8266459999999997E-2</v>
      </c>
      <c r="G52">
        <v>0</v>
      </c>
      <c r="H52">
        <v>0</v>
      </c>
      <c r="I52">
        <v>2.1717310704937601E-2</v>
      </c>
      <c r="J52">
        <v>0.60255276798253998</v>
      </c>
      <c r="K52">
        <v>1.56946031430606E-2</v>
      </c>
      <c r="L52">
        <v>0.24100812642408001</v>
      </c>
      <c r="M52">
        <v>0.58067130515880994</v>
      </c>
      <c r="N52">
        <v>0.37091354184134401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">
      <c r="A53" t="s">
        <v>14</v>
      </c>
      <c r="B53" t="s">
        <v>201</v>
      </c>
      <c r="C53">
        <v>1.1562948868008001E-2</v>
      </c>
      <c r="D53">
        <v>0</v>
      </c>
      <c r="E53">
        <v>9.9665589539340207E-3</v>
      </c>
      <c r="F53">
        <v>1.6088827E-2</v>
      </c>
      <c r="G53">
        <v>0</v>
      </c>
      <c r="H53">
        <v>0</v>
      </c>
      <c r="I53">
        <v>0</v>
      </c>
      <c r="J53">
        <v>4.4667966710787302E-3</v>
      </c>
      <c r="K53">
        <v>0</v>
      </c>
      <c r="L53">
        <v>0.103497613901955</v>
      </c>
      <c r="M53">
        <v>0.11619087277586</v>
      </c>
      <c r="N53">
        <v>0.14416999296229299</v>
      </c>
      <c r="O53">
        <v>0</v>
      </c>
      <c r="P53">
        <v>0</v>
      </c>
      <c r="Q53">
        <v>0</v>
      </c>
      <c r="R53">
        <v>9.09134539570664E-3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">
      <c r="A54" t="s">
        <v>14</v>
      </c>
      <c r="B54" t="s">
        <v>202</v>
      </c>
      <c r="C54">
        <v>0.15647361664192791</v>
      </c>
      <c r="D54">
        <v>9.9543922828130002E-2</v>
      </c>
      <c r="E54">
        <v>0.10881678815660931</v>
      </c>
      <c r="F54">
        <v>0.27211816550000001</v>
      </c>
      <c r="G54">
        <v>0.313999629</v>
      </c>
      <c r="H54">
        <v>0.32838864000000001</v>
      </c>
      <c r="I54">
        <v>3.7948517905982801E-3</v>
      </c>
      <c r="J54">
        <v>4.8507475253693868E-3</v>
      </c>
      <c r="K54">
        <v>8.821228078891151E-3</v>
      </c>
      <c r="L54">
        <v>0.58803198251498701</v>
      </c>
      <c r="M54">
        <v>0.68430779237427763</v>
      </c>
      <c r="N54">
        <v>0.71374227733845275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">
      <c r="A55" t="s">
        <v>14</v>
      </c>
      <c r="B55" t="s">
        <v>203</v>
      </c>
      <c r="C55">
        <v>0.21307212620942301</v>
      </c>
      <c r="D55">
        <v>0.21190654933592201</v>
      </c>
      <c r="E55">
        <v>0.182657623807019</v>
      </c>
      <c r="F55">
        <v>0.10944732</v>
      </c>
      <c r="G55">
        <v>0.30702610000000002</v>
      </c>
      <c r="H55">
        <v>0.15794991</v>
      </c>
      <c r="I55">
        <v>0</v>
      </c>
      <c r="J55">
        <v>0</v>
      </c>
      <c r="K55">
        <v>0</v>
      </c>
      <c r="L55">
        <v>1.5251102592436901E-2</v>
      </c>
      <c r="M55">
        <v>0</v>
      </c>
      <c r="N55">
        <v>2.28177498088728E-2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">
      <c r="A56" t="s">
        <v>14</v>
      </c>
      <c r="B56" t="s">
        <v>37</v>
      </c>
      <c r="C56">
        <v>8.2564468071657602E-3</v>
      </c>
      <c r="D56">
        <v>5.4054740549663298E-2</v>
      </c>
      <c r="E56">
        <v>5.1758472984143683E-2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4.3233132840576E-3</v>
      </c>
      <c r="N56">
        <v>0</v>
      </c>
      <c r="O56">
        <v>0.34315176782171719</v>
      </c>
      <c r="P56">
        <v>0.36088152133019491</v>
      </c>
      <c r="Q56">
        <v>0.48342975488909379</v>
      </c>
      <c r="R56">
        <v>1.0999430933885499</v>
      </c>
      <c r="S56">
        <v>1.0202239594945439</v>
      </c>
      <c r="T56">
        <v>1.0932041585988681</v>
      </c>
      <c r="U56">
        <v>0.46747066019450051</v>
      </c>
      <c r="V56">
        <v>0.58559968408813357</v>
      </c>
      <c r="W56">
        <v>0.87200962333659171</v>
      </c>
      <c r="X56">
        <v>0.88102007000000004</v>
      </c>
      <c r="Y56">
        <v>0.24496001000000001</v>
      </c>
      <c r="Z56">
        <v>0</v>
      </c>
    </row>
    <row r="57" spans="1:26" x14ac:dyDescent="0.2">
      <c r="A57" t="s">
        <v>14</v>
      </c>
      <c r="B57" t="s">
        <v>298</v>
      </c>
      <c r="C57">
        <v>5.3335600150830496E-3</v>
      </c>
      <c r="D57">
        <v>0</v>
      </c>
      <c r="E57">
        <v>3.79123769444653E-3</v>
      </c>
      <c r="F57">
        <v>0</v>
      </c>
      <c r="G57">
        <v>0</v>
      </c>
      <c r="H57">
        <v>0</v>
      </c>
      <c r="I57">
        <v>1.4008266560507E-2</v>
      </c>
      <c r="J57">
        <v>2.1283170491019261E-2</v>
      </c>
      <c r="K57">
        <v>6.29481510921225E-3</v>
      </c>
      <c r="L57">
        <v>0.36359452468731329</v>
      </c>
      <c r="M57">
        <v>0.47788657518736488</v>
      </c>
      <c r="N57">
        <v>0.29530375031854511</v>
      </c>
      <c r="O57">
        <v>5.3657324887801297E-2</v>
      </c>
      <c r="P57">
        <v>0</v>
      </c>
      <c r="Q57">
        <v>0</v>
      </c>
      <c r="R57">
        <v>0.23092428678189689</v>
      </c>
      <c r="S57">
        <v>3.1659270873039297E-2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">
      <c r="A58" t="s">
        <v>15</v>
      </c>
      <c r="B58" t="s">
        <v>35</v>
      </c>
      <c r="C58">
        <v>5.5587160222584038E-2</v>
      </c>
      <c r="D58">
        <v>8.6840931797271481E-2</v>
      </c>
      <c r="E58">
        <v>6.3896821221913258E-2</v>
      </c>
      <c r="F58">
        <v>0.138791942</v>
      </c>
      <c r="G58">
        <v>9.9625446000000006E-2</v>
      </c>
      <c r="H58">
        <v>3.4896896500000003E-2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0.29082706464054447</v>
      </c>
      <c r="P58">
        <v>0.1826263347128112</v>
      </c>
      <c r="Q58">
        <v>0.34361550271646352</v>
      </c>
      <c r="R58">
        <v>0.53989976208922585</v>
      </c>
      <c r="S58">
        <v>0.54337147501132743</v>
      </c>
      <c r="T58">
        <v>0.27554428125189739</v>
      </c>
      <c r="U58">
        <v>0.44109416108544758</v>
      </c>
      <c r="V58">
        <v>0.35272437420930602</v>
      </c>
      <c r="W58">
        <v>0.59861664536500969</v>
      </c>
      <c r="X58">
        <v>6.5653256000000004</v>
      </c>
      <c r="Y58">
        <v>8.1258490600000002</v>
      </c>
      <c r="Z58">
        <v>9.7766338400000006</v>
      </c>
    </row>
    <row r="59" spans="1:26" x14ac:dyDescent="0.2">
      <c r="A59" t="s">
        <v>15</v>
      </c>
      <c r="B59" t="s">
        <v>204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6.3126659483264999E-2</v>
      </c>
      <c r="P59">
        <v>4.2249260162822412E-2</v>
      </c>
      <c r="Q59">
        <v>5.8561263344108092E-2</v>
      </c>
      <c r="R59">
        <v>8.4715432661652504E-2</v>
      </c>
      <c r="S59">
        <v>0.16351056867300029</v>
      </c>
      <c r="T59">
        <v>5.8189349830997897E-2</v>
      </c>
      <c r="U59">
        <v>6.1891488803114706E-3</v>
      </c>
      <c r="V59">
        <v>1.8845020366077499E-2</v>
      </c>
      <c r="W59">
        <v>0.133997443801218</v>
      </c>
      <c r="X59">
        <v>1.8132050500000001</v>
      </c>
      <c r="Y59">
        <v>0.30740079999999997</v>
      </c>
      <c r="Z59">
        <v>1.1329374000000001</v>
      </c>
    </row>
    <row r="60" spans="1:26" x14ac:dyDescent="0.2">
      <c r="A60" t="s">
        <v>15</v>
      </c>
      <c r="B60" t="s">
        <v>205</v>
      </c>
      <c r="C60">
        <v>2.8596774580257299E-2</v>
      </c>
      <c r="D60">
        <v>2.513222286820609E-2</v>
      </c>
      <c r="E60">
        <v>2.7603892688058899E-2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0.1171465111829452</v>
      </c>
      <c r="P60">
        <v>7.4464660411826505E-2</v>
      </c>
      <c r="Q60">
        <v>0.242259608297168</v>
      </c>
      <c r="R60">
        <v>0.2544548278060787</v>
      </c>
      <c r="S60">
        <v>0.32687010493156798</v>
      </c>
      <c r="T60">
        <v>0.19399823239308381</v>
      </c>
      <c r="U60">
        <v>0.256637415304179</v>
      </c>
      <c r="V60">
        <v>0.14608729990420261</v>
      </c>
      <c r="W60">
        <v>0.12482520111269831</v>
      </c>
      <c r="X60">
        <v>4.2208537000000002</v>
      </c>
      <c r="Y60">
        <v>4.3681666999999997</v>
      </c>
      <c r="Z60">
        <v>4.6718244999999996</v>
      </c>
    </row>
    <row r="61" spans="1:26" x14ac:dyDescent="0.2">
      <c r="A61" t="s">
        <v>15</v>
      </c>
      <c r="B61" t="s">
        <v>206</v>
      </c>
      <c r="C61">
        <v>3.0379713727105701E-2</v>
      </c>
      <c r="D61">
        <v>4.3561578884981599E-2</v>
      </c>
      <c r="E61">
        <v>4.8284737356278702E-2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2.6726282186842299E-2</v>
      </c>
      <c r="P61">
        <v>3.3720285307589998E-2</v>
      </c>
      <c r="Q61">
        <v>4.3894879529985401E-2</v>
      </c>
      <c r="R61">
        <v>0.30183129589381102</v>
      </c>
      <c r="S61">
        <v>0.280352121286221</v>
      </c>
      <c r="T61">
        <v>4.7624187879074097E-2</v>
      </c>
      <c r="U61">
        <v>0.16147087245772901</v>
      </c>
      <c r="V61">
        <v>0.16760148303070599</v>
      </c>
      <c r="W61">
        <v>9.9045184572588499E-2</v>
      </c>
      <c r="X61">
        <v>0.53974604999999998</v>
      </c>
      <c r="Y61">
        <v>0.60297847000000004</v>
      </c>
      <c r="Z61">
        <v>1.5405641999999999</v>
      </c>
    </row>
    <row r="62" spans="1:26" x14ac:dyDescent="0.2">
      <c r="A62" t="s">
        <v>15</v>
      </c>
      <c r="B62" t="s">
        <v>34</v>
      </c>
      <c r="C62">
        <v>0.160606199309928</v>
      </c>
      <c r="D62">
        <v>0.22614202739849701</v>
      </c>
      <c r="E62">
        <v>0.21248027354024199</v>
      </c>
      <c r="F62">
        <v>0.15140331000000001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3.4753062176705001</v>
      </c>
      <c r="P62">
        <v>1.9229289407238199</v>
      </c>
      <c r="Q62">
        <v>3.2862623553227199</v>
      </c>
      <c r="R62">
        <v>3.4476013520462399</v>
      </c>
      <c r="S62">
        <v>4.15567126716196</v>
      </c>
      <c r="T62">
        <v>4.0751840132772914</v>
      </c>
      <c r="U62">
        <v>2.8245253403194002</v>
      </c>
      <c r="V62">
        <v>2.8502709383021201</v>
      </c>
      <c r="W62">
        <v>2.5214495150740501</v>
      </c>
      <c r="X62">
        <v>4.5102744000000001</v>
      </c>
      <c r="Y62">
        <v>2.7964578000000002</v>
      </c>
      <c r="Z62">
        <v>7.5133789999999996</v>
      </c>
    </row>
    <row r="63" spans="1:26" x14ac:dyDescent="0.2">
      <c r="A63" t="s">
        <v>15</v>
      </c>
      <c r="B63" t="s">
        <v>207</v>
      </c>
      <c r="C63">
        <v>0.1576527976669212</v>
      </c>
      <c r="D63">
        <v>0.128678109989106</v>
      </c>
      <c r="E63">
        <v>0.16548996768617999</v>
      </c>
      <c r="F63">
        <v>0.140702143</v>
      </c>
      <c r="G63">
        <v>0.207166236</v>
      </c>
      <c r="H63">
        <v>0.110309407</v>
      </c>
      <c r="I63">
        <v>0</v>
      </c>
      <c r="J63">
        <v>2.5672503393249901E-3</v>
      </c>
      <c r="K63">
        <v>0</v>
      </c>
      <c r="L63">
        <v>6.6736790893711095E-2</v>
      </c>
      <c r="M63">
        <v>6.017793983152412E-2</v>
      </c>
      <c r="N63">
        <v>5.71361419900204E-2</v>
      </c>
      <c r="O63">
        <v>3.9374439845724703E-2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">
      <c r="A64" t="s">
        <v>15</v>
      </c>
      <c r="B64" t="s">
        <v>202</v>
      </c>
      <c r="C64">
        <v>0.69756513285948174</v>
      </c>
      <c r="D64">
        <v>0.78395601790441527</v>
      </c>
      <c r="E64">
        <v>0.63921995941985399</v>
      </c>
      <c r="F64">
        <v>7.7593351860000004</v>
      </c>
      <c r="G64">
        <v>7.8683891340000001</v>
      </c>
      <c r="H64">
        <v>6.039019862</v>
      </c>
      <c r="I64">
        <v>2.778586740550943E-2</v>
      </c>
      <c r="J64">
        <v>1.6988141307386361E-2</v>
      </c>
      <c r="K64">
        <v>9.0903257323596103E-3</v>
      </c>
      <c r="L64">
        <v>1.3020449300306089</v>
      </c>
      <c r="M64">
        <v>1.8800295619988929</v>
      </c>
      <c r="N64">
        <v>1.0873969596579649</v>
      </c>
      <c r="O64">
        <v>2.8817524814624601E-2</v>
      </c>
      <c r="P64">
        <v>1.3191015681057501E-2</v>
      </c>
      <c r="Q64">
        <v>6.2699779590750723E-2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">
      <c r="A65" t="s">
        <v>15</v>
      </c>
      <c r="B65" t="s">
        <v>208</v>
      </c>
      <c r="C65">
        <v>0.50862807409877697</v>
      </c>
      <c r="D65">
        <v>0.33428255335481999</v>
      </c>
      <c r="E65">
        <v>0.50010896520628201</v>
      </c>
      <c r="F65">
        <v>2.7157965000000002</v>
      </c>
      <c r="G65">
        <v>2.7886758</v>
      </c>
      <c r="H65">
        <v>3.2152761999999999</v>
      </c>
      <c r="I65">
        <v>0</v>
      </c>
      <c r="J65">
        <v>0</v>
      </c>
      <c r="K65">
        <v>0</v>
      </c>
      <c r="L65">
        <v>1.3655888479253701E-2</v>
      </c>
      <c r="M65">
        <v>5.4977058477866797E-3</v>
      </c>
      <c r="N65">
        <v>2.5310655985549602E-2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">
      <c r="A66" t="s">
        <v>15</v>
      </c>
      <c r="B66" t="s">
        <v>209</v>
      </c>
      <c r="C66">
        <v>2.3535668591281889</v>
      </c>
      <c r="D66">
        <v>2.481048525933748</v>
      </c>
      <c r="E66">
        <v>2.335887127075976</v>
      </c>
      <c r="F66">
        <v>49.358318859999997</v>
      </c>
      <c r="G66">
        <v>46.164675279999997</v>
      </c>
      <c r="H66">
        <v>47.942771399999998</v>
      </c>
      <c r="I66">
        <v>0.48770480488263218</v>
      </c>
      <c r="J66">
        <v>0.57066548113420457</v>
      </c>
      <c r="K66">
        <v>0.335036928477984</v>
      </c>
      <c r="L66">
        <v>3.7443800790150461</v>
      </c>
      <c r="M66">
        <v>4.0849718188802786</v>
      </c>
      <c r="N66">
        <v>3.4276694100078058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">
      <c r="A67" t="s">
        <v>15</v>
      </c>
      <c r="B67" t="s">
        <v>210</v>
      </c>
      <c r="C67">
        <v>3.2326125289618597E-2</v>
      </c>
      <c r="D67">
        <v>1.1957914462952199E-2</v>
      </c>
      <c r="E67">
        <v>3.9809874502141698E-3</v>
      </c>
      <c r="F67">
        <v>1.2010369E-2</v>
      </c>
      <c r="G67">
        <v>0.14205255</v>
      </c>
      <c r="H67">
        <v>0</v>
      </c>
      <c r="I67">
        <v>0</v>
      </c>
      <c r="J67">
        <v>0</v>
      </c>
      <c r="K67">
        <v>0</v>
      </c>
      <c r="L67">
        <v>1.6799254833315399E-2</v>
      </c>
      <c r="M67">
        <v>9.6489469613345209E-3</v>
      </c>
      <c r="N67">
        <v>1.98059283104619E-2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">
      <c r="A68" t="s">
        <v>15</v>
      </c>
      <c r="B68" t="s">
        <v>211</v>
      </c>
      <c r="C68">
        <v>1.245779687135592</v>
      </c>
      <c r="D68">
        <v>1.4681620880206361</v>
      </c>
      <c r="E68">
        <v>1.2171394754640421</v>
      </c>
      <c r="F68">
        <v>15.235732730000001</v>
      </c>
      <c r="G68">
        <v>14.235671160000001</v>
      </c>
      <c r="H68">
        <v>16.60915305</v>
      </c>
      <c r="I68">
        <v>1.6505512376239821E-2</v>
      </c>
      <c r="J68">
        <v>2.759899364460295E-2</v>
      </c>
      <c r="K68">
        <v>1.666335469554709E-2</v>
      </c>
      <c r="L68">
        <v>3.6846915674903959</v>
      </c>
      <c r="M68">
        <v>4.1536484032132739</v>
      </c>
      <c r="N68">
        <v>4.5724203768672016</v>
      </c>
      <c r="O68">
        <v>0</v>
      </c>
      <c r="P68">
        <v>3.9251125754866598E-3</v>
      </c>
      <c r="Q68">
        <v>5.5156246067330893E-3</v>
      </c>
      <c r="R68">
        <v>1.05174387911116E-2</v>
      </c>
      <c r="S68">
        <v>1.7188927166416099E-2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6.779077E-2</v>
      </c>
    </row>
    <row r="69" spans="1:26" x14ac:dyDescent="0.2">
      <c r="A69" t="s">
        <v>15</v>
      </c>
      <c r="B69" t="s">
        <v>212</v>
      </c>
      <c r="C69">
        <v>3.2522139614161518</v>
      </c>
      <c r="D69">
        <v>3.0819245553529799</v>
      </c>
      <c r="E69">
        <v>2.9105752611407572</v>
      </c>
      <c r="F69">
        <v>7.9094071430000001</v>
      </c>
      <c r="G69">
        <v>8.1030518284999999</v>
      </c>
      <c r="H69">
        <v>9.1219087395000003</v>
      </c>
      <c r="I69">
        <v>7.6104545895797834E-2</v>
      </c>
      <c r="J69">
        <v>0.16709776938025619</v>
      </c>
      <c r="K69">
        <v>0.23147780151357081</v>
      </c>
      <c r="L69">
        <v>14.269159682766301</v>
      </c>
      <c r="M69">
        <v>11.816335327362999</v>
      </c>
      <c r="N69">
        <v>12.31309739631266</v>
      </c>
      <c r="O69">
        <v>0</v>
      </c>
      <c r="P69">
        <v>6.4423043358531086E-3</v>
      </c>
      <c r="Q69">
        <v>0</v>
      </c>
      <c r="R69">
        <v>4.1151021919329699E-2</v>
      </c>
      <c r="S69">
        <v>0.10576584222147099</v>
      </c>
      <c r="T69">
        <v>0</v>
      </c>
      <c r="U69">
        <v>0</v>
      </c>
      <c r="V69">
        <v>0</v>
      </c>
      <c r="W69">
        <v>0</v>
      </c>
      <c r="X69">
        <v>0</v>
      </c>
      <c r="Y69">
        <v>0.31265526999999999</v>
      </c>
      <c r="Z69">
        <v>0</v>
      </c>
    </row>
    <row r="70" spans="1:26" x14ac:dyDescent="0.2">
      <c r="A70" t="s">
        <v>15</v>
      </c>
      <c r="B70" t="s">
        <v>38</v>
      </c>
      <c r="C70">
        <v>3.0785125317953799E-2</v>
      </c>
      <c r="D70">
        <v>7.9728837285437705E-3</v>
      </c>
      <c r="E70">
        <v>0</v>
      </c>
      <c r="F70">
        <v>0</v>
      </c>
      <c r="G70">
        <v>1.676033E-2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0.12447089547479299</v>
      </c>
      <c r="P70">
        <v>0.165405485073324</v>
      </c>
      <c r="Q70">
        <v>0.19047961484112899</v>
      </c>
      <c r="R70">
        <v>0</v>
      </c>
      <c r="S70">
        <v>0</v>
      </c>
      <c r="T70">
        <v>3.81182407588566E-2</v>
      </c>
      <c r="U70">
        <v>0.125548113929495</v>
      </c>
      <c r="V70">
        <v>3.09842263450021E-2</v>
      </c>
      <c r="W70">
        <v>7.1716412299827101E-2</v>
      </c>
      <c r="X70">
        <v>1.7020694999999999</v>
      </c>
      <c r="Y70">
        <v>0.40745821999999998</v>
      </c>
      <c r="Z70">
        <v>0.25236955</v>
      </c>
    </row>
    <row r="71" spans="1:26" x14ac:dyDescent="0.2">
      <c r="A71" t="s">
        <v>15</v>
      </c>
      <c r="B71" t="s">
        <v>42</v>
      </c>
      <c r="C71">
        <v>0</v>
      </c>
      <c r="D71">
        <v>3.7883192314422297E-2</v>
      </c>
      <c r="E71">
        <v>0</v>
      </c>
      <c r="F71">
        <v>9.2586509999999997E-3</v>
      </c>
      <c r="G71">
        <v>0</v>
      </c>
      <c r="H71">
        <v>2.9226100000000001E-2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5.1441883259653098E-2</v>
      </c>
      <c r="P71">
        <v>0.1544485255617136</v>
      </c>
      <c r="Q71">
        <v>0.26725250702037667</v>
      </c>
      <c r="R71">
        <v>0.25275448568078779</v>
      </c>
      <c r="S71">
        <v>0.22236286616370499</v>
      </c>
      <c r="T71">
        <v>0.13446631089641961</v>
      </c>
      <c r="U71">
        <v>6.1718326695452477E-2</v>
      </c>
      <c r="V71">
        <v>0.18296562264620059</v>
      </c>
      <c r="W71">
        <v>8.9752650176678411E-2</v>
      </c>
      <c r="X71">
        <v>1.0763346300000001</v>
      </c>
      <c r="Y71">
        <v>0.44792673</v>
      </c>
      <c r="Z71">
        <v>0.25617417999999997</v>
      </c>
    </row>
    <row r="72" spans="1:26" x14ac:dyDescent="0.2">
      <c r="A72" t="s">
        <v>15</v>
      </c>
      <c r="B72" t="s">
        <v>213</v>
      </c>
      <c r="C72">
        <v>0.14547519251601479</v>
      </c>
      <c r="D72">
        <v>0.1005571140700936</v>
      </c>
      <c r="E72">
        <v>0.19990418576688909</v>
      </c>
      <c r="F72">
        <v>0.50225097699999999</v>
      </c>
      <c r="G72">
        <v>0.48775408999999997</v>
      </c>
      <c r="H72">
        <v>0.46192615999999997</v>
      </c>
      <c r="I72">
        <v>2.2149252295747299E-2</v>
      </c>
      <c r="J72">
        <v>1.48629396489881E-2</v>
      </c>
      <c r="K72">
        <v>1.82582757878351E-2</v>
      </c>
      <c r="L72">
        <v>0</v>
      </c>
      <c r="M72">
        <v>6.0741476189943603E-3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">
      <c r="A73" t="s">
        <v>15</v>
      </c>
      <c r="B73" t="s">
        <v>40</v>
      </c>
      <c r="C73">
        <v>0.29031175279483351</v>
      </c>
      <c r="D73">
        <v>0.27760028899939632</v>
      </c>
      <c r="E73">
        <v>0.2380063124671225</v>
      </c>
      <c r="F73">
        <v>0.16215906199999999</v>
      </c>
      <c r="G73">
        <v>6.3707270999999996E-2</v>
      </c>
      <c r="H73">
        <v>0.116958504</v>
      </c>
      <c r="I73">
        <v>0</v>
      </c>
      <c r="J73">
        <v>0</v>
      </c>
      <c r="K73">
        <v>0</v>
      </c>
      <c r="L73">
        <v>9.4282654827448006E-2</v>
      </c>
      <c r="M73">
        <v>0.1100711260316803</v>
      </c>
      <c r="N73">
        <v>7.5802569225020447E-2</v>
      </c>
      <c r="O73">
        <v>3.8340567085922199E-2</v>
      </c>
      <c r="P73">
        <v>6.9282891241026004E-2</v>
      </c>
      <c r="Q73">
        <v>9.3625390570223496E-2</v>
      </c>
      <c r="R73">
        <v>5.3910444077255898E-2</v>
      </c>
      <c r="S73">
        <v>0.10280273009069101</v>
      </c>
      <c r="T73">
        <v>3.94877987896615E-2</v>
      </c>
      <c r="U73">
        <v>3.2856113460281597E-2</v>
      </c>
      <c r="V73">
        <v>7.0692592890520406E-2</v>
      </c>
      <c r="W73">
        <v>2.0209006841590899E-2</v>
      </c>
      <c r="X73">
        <v>0</v>
      </c>
      <c r="Y73">
        <v>0</v>
      </c>
      <c r="Z73">
        <v>0.13071450000000001</v>
      </c>
    </row>
    <row r="74" spans="1:26" x14ac:dyDescent="0.2">
      <c r="A74" t="s">
        <v>15</v>
      </c>
      <c r="B74" t="s">
        <v>214</v>
      </c>
      <c r="C74">
        <v>1.0911783745610799</v>
      </c>
      <c r="D74">
        <v>1.138578597111134</v>
      </c>
      <c r="E74">
        <v>1.1093503419253019</v>
      </c>
      <c r="F74">
        <v>1.50200844</v>
      </c>
      <c r="G74">
        <v>1.3601642899999999</v>
      </c>
      <c r="H74">
        <v>1.61464059</v>
      </c>
      <c r="I74">
        <v>17.300417602911239</v>
      </c>
      <c r="J74">
        <v>16.433174027408722</v>
      </c>
      <c r="K74">
        <v>16.6731581300611</v>
      </c>
      <c r="L74">
        <v>0.1128977644999459</v>
      </c>
      <c r="M74">
        <v>0.1271940277191061</v>
      </c>
      <c r="N74">
        <v>0.12430992844778301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">
      <c r="A75" t="s">
        <v>15</v>
      </c>
      <c r="B75" t="s">
        <v>47</v>
      </c>
      <c r="C75">
        <v>1.1966180826647301E-3</v>
      </c>
      <c r="D75">
        <v>0</v>
      </c>
      <c r="E75">
        <v>0</v>
      </c>
      <c r="F75">
        <v>0</v>
      </c>
      <c r="G75">
        <v>1.8202052E-2</v>
      </c>
      <c r="H75">
        <v>0</v>
      </c>
      <c r="I75">
        <v>0.15204611176867169</v>
      </c>
      <c r="J75">
        <v>0.22260055975993001</v>
      </c>
      <c r="K75">
        <v>0.12544711610114759</v>
      </c>
      <c r="L75">
        <v>3.3899827888009798E-2</v>
      </c>
      <c r="M75">
        <v>2.1146809394796399E-2</v>
      </c>
      <c r="N75">
        <v>1.4429278971781831E-2</v>
      </c>
      <c r="O75">
        <v>3.1675209543853988</v>
      </c>
      <c r="P75">
        <v>2.2229944885523998</v>
      </c>
      <c r="Q75">
        <v>1.20513880748888</v>
      </c>
      <c r="R75">
        <v>0.26111907194229839</v>
      </c>
      <c r="S75">
        <v>0.83671238393878178</v>
      </c>
      <c r="T75">
        <v>0</v>
      </c>
      <c r="U75">
        <v>1.961200516134794E-2</v>
      </c>
      <c r="V75">
        <v>0</v>
      </c>
      <c r="W75">
        <v>0</v>
      </c>
      <c r="X75">
        <v>0.35209210000000002</v>
      </c>
      <c r="Y75">
        <v>0</v>
      </c>
      <c r="Z75">
        <v>1.92746434</v>
      </c>
    </row>
    <row r="76" spans="1:26" x14ac:dyDescent="0.2">
      <c r="A76" t="s">
        <v>15</v>
      </c>
      <c r="B76" t="s">
        <v>215</v>
      </c>
      <c r="C76">
        <v>6.6456986048174186E-3</v>
      </c>
      <c r="D76">
        <v>0</v>
      </c>
      <c r="E76">
        <v>1.7182685804463801E-2</v>
      </c>
      <c r="F76">
        <v>7.2697680000000001E-2</v>
      </c>
      <c r="G76">
        <v>0</v>
      </c>
      <c r="H76">
        <v>0.13259998000000001</v>
      </c>
      <c r="I76">
        <v>7.4279703999779095E-2</v>
      </c>
      <c r="J76">
        <v>0.12573464280782601</v>
      </c>
      <c r="K76">
        <v>7.9527671518704393E-2</v>
      </c>
      <c r="L76">
        <v>2.5774015001124601E-3</v>
      </c>
      <c r="M76">
        <v>1.3036187637819101E-2</v>
      </c>
      <c r="N76">
        <v>1.47620185673976E-3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">
      <c r="A77" t="s">
        <v>15</v>
      </c>
      <c r="B77" t="s">
        <v>216</v>
      </c>
      <c r="C77">
        <v>2.4318156554263021E-2</v>
      </c>
      <c r="D77">
        <v>0.11337864000948281</v>
      </c>
      <c r="E77">
        <v>9.2177049673104403E-2</v>
      </c>
      <c r="F77">
        <v>2.7851048999999999E-2</v>
      </c>
      <c r="G77">
        <v>1.8300462999999999E-2</v>
      </c>
      <c r="H77">
        <v>0.174171936</v>
      </c>
      <c r="I77">
        <v>0</v>
      </c>
      <c r="J77">
        <v>0</v>
      </c>
      <c r="K77">
        <v>0</v>
      </c>
      <c r="L77">
        <v>9.5529488846947505E-4</v>
      </c>
      <c r="M77">
        <v>1.2724737009196399E-3</v>
      </c>
      <c r="N77">
        <v>0</v>
      </c>
      <c r="O77">
        <v>0.4200275923184601</v>
      </c>
      <c r="P77">
        <v>0.30445996734244329</v>
      </c>
      <c r="Q77">
        <v>0.50164497930741836</v>
      </c>
      <c r="R77">
        <v>0.43864713101547492</v>
      </c>
      <c r="S77">
        <v>0.61754277453737272</v>
      </c>
      <c r="T77">
        <v>0.37359249239321829</v>
      </c>
      <c r="U77">
        <v>0.25234746373370981</v>
      </c>
      <c r="V77">
        <v>0.33531997045638989</v>
      </c>
      <c r="W77">
        <v>0.43195248477558101</v>
      </c>
      <c r="X77">
        <v>0</v>
      </c>
      <c r="Y77">
        <v>0.14830014</v>
      </c>
      <c r="Z77">
        <v>0.39014958999999999</v>
      </c>
    </row>
    <row r="78" spans="1:26" x14ac:dyDescent="0.2">
      <c r="A78" t="s">
        <v>15</v>
      </c>
      <c r="B78" t="s">
        <v>46</v>
      </c>
      <c r="C78">
        <v>3.7077723504935753E-2</v>
      </c>
      <c r="D78">
        <v>6.8388997702680573E-2</v>
      </c>
      <c r="E78">
        <v>4.4072668520327672E-2</v>
      </c>
      <c r="F78">
        <v>0.36243821399999998</v>
      </c>
      <c r="G78">
        <v>0.34946865399999999</v>
      </c>
      <c r="H78">
        <v>0.46266583999999999</v>
      </c>
      <c r="I78">
        <v>4.9797076512441182E-2</v>
      </c>
      <c r="J78">
        <v>5.8141610505434219E-2</v>
      </c>
      <c r="K78">
        <v>3.3277029824299913E-2</v>
      </c>
      <c r="L78">
        <v>5.1700828288952496E-3</v>
      </c>
      <c r="M78">
        <v>1.54176664776741E-3</v>
      </c>
      <c r="N78">
        <v>0</v>
      </c>
      <c r="O78">
        <v>2.3105747056987158</v>
      </c>
      <c r="P78">
        <v>2.645727561504418</v>
      </c>
      <c r="Q78">
        <v>3.0023658937361382</v>
      </c>
      <c r="R78">
        <v>0.25777323743769359</v>
      </c>
      <c r="S78">
        <v>0.1364685744697684</v>
      </c>
      <c r="T78">
        <v>7.6297200839276005E-2</v>
      </c>
      <c r="U78">
        <v>0.41302514202085822</v>
      </c>
      <c r="V78">
        <v>0.32151345184903501</v>
      </c>
      <c r="W78">
        <v>0.7810540560860092</v>
      </c>
      <c r="X78">
        <v>5.2589134</v>
      </c>
      <c r="Y78">
        <v>5.6427638</v>
      </c>
      <c r="Z78">
        <v>5.1622824999999999</v>
      </c>
    </row>
    <row r="79" spans="1:26" x14ac:dyDescent="0.2">
      <c r="A79" t="s">
        <v>15</v>
      </c>
      <c r="B79" t="s">
        <v>217</v>
      </c>
      <c r="C79">
        <v>1.1335046524249499</v>
      </c>
      <c r="D79">
        <v>0.97192980475607194</v>
      </c>
      <c r="E79">
        <v>1.1889005786428199</v>
      </c>
      <c r="F79">
        <v>0.230475232</v>
      </c>
      <c r="G79">
        <v>0.39726382500000001</v>
      </c>
      <c r="H79">
        <v>0.47929883000000001</v>
      </c>
      <c r="I79">
        <v>0</v>
      </c>
      <c r="J79">
        <v>0</v>
      </c>
      <c r="K79">
        <v>0</v>
      </c>
      <c r="L79">
        <v>0</v>
      </c>
      <c r="M79">
        <v>5.6233185322587999E-3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">
      <c r="A80" t="s">
        <v>15</v>
      </c>
      <c r="B80" t="s">
        <v>218</v>
      </c>
      <c r="C80">
        <v>6.8549432968680896E-3</v>
      </c>
      <c r="D80">
        <v>0</v>
      </c>
      <c r="E80">
        <v>2.4160216427444189E-2</v>
      </c>
      <c r="F80">
        <v>0.211321913</v>
      </c>
      <c r="G80">
        <v>0.1690749</v>
      </c>
      <c r="H80">
        <v>0.39522938499999999</v>
      </c>
      <c r="I80">
        <v>0.14480018025768659</v>
      </c>
      <c r="J80">
        <v>0.26349890371927132</v>
      </c>
      <c r="K80">
        <v>0.16070822362428999</v>
      </c>
      <c r="L80">
        <v>1.8676840180326448E-2</v>
      </c>
      <c r="M80">
        <v>2.5386667676156719E-2</v>
      </c>
      <c r="N80">
        <v>1.78609861503745E-2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">
      <c r="A81" t="s">
        <v>15</v>
      </c>
      <c r="B81" t="s">
        <v>182</v>
      </c>
      <c r="C81">
        <v>0.63750972660873184</v>
      </c>
      <c r="D81">
        <v>0.52323001981226391</v>
      </c>
      <c r="E81">
        <v>0.57372059818140841</v>
      </c>
      <c r="F81">
        <v>6.4873914039999994</v>
      </c>
      <c r="G81">
        <v>6.3182115460000006</v>
      </c>
      <c r="H81">
        <v>6.7380546379999986</v>
      </c>
      <c r="I81">
        <v>3.8089232898452778E-2</v>
      </c>
      <c r="J81">
        <v>0.1105643740759077</v>
      </c>
      <c r="K81">
        <v>7.0987960984980211E-2</v>
      </c>
      <c r="L81">
        <v>4.7441716621519827</v>
      </c>
      <c r="M81">
        <v>5.953797761857281</v>
      </c>
      <c r="N81">
        <v>4.9930071869111847</v>
      </c>
      <c r="O81">
        <v>1.0657616923288701E-2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">
      <c r="A82" t="s">
        <v>15</v>
      </c>
      <c r="B82" t="s">
        <v>219</v>
      </c>
      <c r="C82">
        <v>5.2908392237893787E-2</v>
      </c>
      <c r="D82">
        <v>4.9728216388297804E-3</v>
      </c>
      <c r="E82">
        <v>4.3516570226196698E-2</v>
      </c>
      <c r="F82">
        <v>3.5874261999999997E-2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3.96514684775447E-3</v>
      </c>
      <c r="O82">
        <v>5.0418080689069496E-3</v>
      </c>
      <c r="P82">
        <v>9.5878243938765095E-3</v>
      </c>
      <c r="Q82">
        <v>1.0797536306401199E-2</v>
      </c>
      <c r="R82">
        <v>0.12998704174751299</v>
      </c>
      <c r="S82">
        <v>7.7393324367282107E-2</v>
      </c>
      <c r="T82">
        <v>0.11716805084231199</v>
      </c>
      <c r="U82">
        <v>5.0323142836395288E-2</v>
      </c>
      <c r="V82">
        <v>3.9379291684643901E-2</v>
      </c>
      <c r="W82">
        <v>5.2229155702578807E-2</v>
      </c>
      <c r="X82">
        <v>2.0518801</v>
      </c>
      <c r="Y82">
        <v>1.1461304000000001</v>
      </c>
      <c r="Z82">
        <v>1.8634500000000001</v>
      </c>
    </row>
    <row r="83" spans="1:26" x14ac:dyDescent="0.2">
      <c r="A83" t="s">
        <v>15</v>
      </c>
      <c r="B83" t="s">
        <v>220</v>
      </c>
      <c r="C83">
        <v>7.9802874063030604E-2</v>
      </c>
      <c r="D83">
        <v>0.13158503750783199</v>
      </c>
      <c r="E83">
        <v>8.0339295107837994E-2</v>
      </c>
      <c r="F83">
        <v>0.31487164000000001</v>
      </c>
      <c r="G83">
        <v>0.28213206000000002</v>
      </c>
      <c r="H83">
        <v>0.34807505999999999</v>
      </c>
      <c r="I83">
        <v>0</v>
      </c>
      <c r="J83">
        <v>0</v>
      </c>
      <c r="K83">
        <v>0</v>
      </c>
      <c r="L83">
        <v>9.3653125886230103E-3</v>
      </c>
      <c r="M83">
        <v>2.7755241103223499E-3</v>
      </c>
      <c r="N83">
        <v>8.6617926477753303E-4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">
      <c r="A84" t="s">
        <v>15</v>
      </c>
      <c r="B84" t="s">
        <v>195</v>
      </c>
      <c r="C84">
        <v>0.32680751450000328</v>
      </c>
      <c r="D84">
        <v>0.30095166597991663</v>
      </c>
      <c r="E84">
        <v>0.3699800856691971</v>
      </c>
      <c r="F84">
        <v>3.5961984400000002</v>
      </c>
      <c r="G84">
        <v>3.7571318200000001</v>
      </c>
      <c r="H84">
        <v>4.9736358899999997</v>
      </c>
      <c r="I84">
        <v>12.214448757923011</v>
      </c>
      <c r="J84">
        <v>10.51388790655848</v>
      </c>
      <c r="K84">
        <v>12.416061196946369</v>
      </c>
      <c r="L84">
        <v>0.19131201165667591</v>
      </c>
      <c r="M84">
        <v>0.1230496694923785</v>
      </c>
      <c r="N84">
        <v>0.1035678399258466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">
      <c r="A85" t="s">
        <v>15</v>
      </c>
      <c r="B85" t="s">
        <v>221</v>
      </c>
      <c r="C85">
        <v>1.41414537710907E-2</v>
      </c>
      <c r="D85">
        <v>1.8940185027347699E-2</v>
      </c>
      <c r="E85">
        <v>1.97114300743969E-2</v>
      </c>
      <c r="F85">
        <v>6.0413889999999998E-2</v>
      </c>
      <c r="G85">
        <v>1.7012969999999999E-2</v>
      </c>
      <c r="H85">
        <v>4.4977390999999999E-2</v>
      </c>
      <c r="I85">
        <v>0</v>
      </c>
      <c r="J85">
        <v>0</v>
      </c>
      <c r="K85">
        <v>2.9745640618013798E-3</v>
      </c>
      <c r="L85">
        <v>4.532913973342198E-2</v>
      </c>
      <c r="M85">
        <v>2.18135890555217E-2</v>
      </c>
      <c r="N85">
        <v>5.6003242890661997E-2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">
      <c r="A86" t="s">
        <v>15</v>
      </c>
      <c r="B86" t="s">
        <v>183</v>
      </c>
      <c r="C86">
        <v>3.1617221710008598</v>
      </c>
      <c r="D86">
        <v>3.3370286120691102</v>
      </c>
      <c r="E86">
        <v>3.1325561734425502</v>
      </c>
      <c r="F86">
        <v>3.5107733300000001</v>
      </c>
      <c r="G86">
        <v>5.4474933999999999</v>
      </c>
      <c r="H86">
        <v>5.4637788999999994</v>
      </c>
      <c r="I86">
        <v>1.3663719667235761</v>
      </c>
      <c r="J86">
        <v>1.209179119809507</v>
      </c>
      <c r="K86">
        <v>1.3753374070578099</v>
      </c>
      <c r="L86">
        <v>6.5969132301313307E-2</v>
      </c>
      <c r="M86">
        <v>3.1245725082013929E-2</v>
      </c>
      <c r="N86">
        <v>1.7206070120908599E-2</v>
      </c>
      <c r="O86">
        <v>7.0491324531987899E-5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">
      <c r="A87" t="s">
        <v>15</v>
      </c>
      <c r="B87" t="s">
        <v>185</v>
      </c>
      <c r="C87">
        <v>0.43610299198113273</v>
      </c>
      <c r="D87">
        <v>0.59875086784486564</v>
      </c>
      <c r="E87">
        <v>0.62175170962651172</v>
      </c>
      <c r="F87">
        <v>1.2047412799999999</v>
      </c>
      <c r="G87">
        <v>1.2524008959999999</v>
      </c>
      <c r="H87">
        <v>1.58381226</v>
      </c>
      <c r="I87">
        <v>0.1269489694408007</v>
      </c>
      <c r="J87">
        <v>0.13144591176539899</v>
      </c>
      <c r="K87">
        <v>0.12039946511666411</v>
      </c>
      <c r="L87">
        <v>0.18047616835681921</v>
      </c>
      <c r="M87">
        <v>0.26648817046845752</v>
      </c>
      <c r="N87">
        <v>0.15932813009590011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">
      <c r="A88" t="s">
        <v>15</v>
      </c>
      <c r="B88" t="s">
        <v>41</v>
      </c>
      <c r="C88">
        <v>0.60456240613958778</v>
      </c>
      <c r="D88">
        <v>0.44892838798168938</v>
      </c>
      <c r="E88">
        <v>0.50620913804764378</v>
      </c>
      <c r="F88">
        <v>7.3264305000000002E-2</v>
      </c>
      <c r="G88">
        <v>0.27104064999999999</v>
      </c>
      <c r="H88">
        <v>0.36824712199999998</v>
      </c>
      <c r="I88">
        <v>4.9744531040569487E-2</v>
      </c>
      <c r="J88">
        <v>2.92543607049877E-2</v>
      </c>
      <c r="K88">
        <v>2.151849735870303E-2</v>
      </c>
      <c r="L88">
        <v>0.51910345299680227</v>
      </c>
      <c r="M88">
        <v>0.5227062134400412</v>
      </c>
      <c r="N88">
        <v>0.56536286441257633</v>
      </c>
      <c r="O88">
        <v>8.9943573373077096E-2</v>
      </c>
      <c r="P88">
        <v>0.27104996761394279</v>
      </c>
      <c r="Q88">
        <v>0.2096117129717853</v>
      </c>
      <c r="R88">
        <v>0.43913392251102112</v>
      </c>
      <c r="S88">
        <v>0.36411038311889082</v>
      </c>
      <c r="T88">
        <v>0.31460704479061979</v>
      </c>
      <c r="U88">
        <v>0.34844126173731887</v>
      </c>
      <c r="V88">
        <v>8.3906776748301604E-2</v>
      </c>
      <c r="W88">
        <v>0.2403428313660628</v>
      </c>
      <c r="X88">
        <v>0.33844544999999998</v>
      </c>
      <c r="Y88">
        <v>0.70892820000000001</v>
      </c>
      <c r="Z88">
        <v>1.4309794</v>
      </c>
    </row>
    <row r="89" spans="1:26" x14ac:dyDescent="0.2">
      <c r="A89" t="s">
        <v>15</v>
      </c>
      <c r="B89" t="s">
        <v>33</v>
      </c>
      <c r="C89">
        <v>0.99272220805461364</v>
      </c>
      <c r="D89">
        <v>0.96213374124393802</v>
      </c>
      <c r="E89">
        <v>0.93090290824378075</v>
      </c>
      <c r="F89">
        <v>6.3153713E-2</v>
      </c>
      <c r="G89">
        <v>0.27330169399999998</v>
      </c>
      <c r="H89">
        <v>0.157958455</v>
      </c>
      <c r="I89">
        <v>2.5008082206054898E-3</v>
      </c>
      <c r="J89">
        <v>4.0281159801019116E-3</v>
      </c>
      <c r="K89">
        <v>4.3573120042393306E-3</v>
      </c>
      <c r="L89">
        <v>8.1239793074448195E-3</v>
      </c>
      <c r="M89">
        <v>3.6961102225495498E-3</v>
      </c>
      <c r="N89">
        <v>6.5650050373077702E-3</v>
      </c>
      <c r="O89">
        <v>3.5918115934731758</v>
      </c>
      <c r="P89">
        <v>3.8372939994647548</v>
      </c>
      <c r="Q89">
        <v>3.1230696212772222</v>
      </c>
      <c r="R89">
        <v>0.7084393190404038</v>
      </c>
      <c r="S89">
        <v>0.94543414627129663</v>
      </c>
      <c r="T89">
        <v>0.69210581353771017</v>
      </c>
      <c r="U89">
        <v>0.62229434206777912</v>
      </c>
      <c r="V89">
        <v>0.40559573518980307</v>
      </c>
      <c r="W89">
        <v>0.31549507555822892</v>
      </c>
      <c r="X89">
        <v>1.1818241300000001</v>
      </c>
      <c r="Y89">
        <v>0.65162131000000001</v>
      </c>
      <c r="Z89">
        <v>1.9713197099999999</v>
      </c>
    </row>
    <row r="90" spans="1:26" x14ac:dyDescent="0.2">
      <c r="A90" t="s">
        <v>15</v>
      </c>
      <c r="B90" t="s">
        <v>222</v>
      </c>
      <c r="C90">
        <v>0.13143836109095</v>
      </c>
      <c r="D90">
        <v>6.5710673221835297E-2</v>
      </c>
      <c r="E90">
        <v>0.129574659953408</v>
      </c>
      <c r="F90">
        <v>0</v>
      </c>
      <c r="G90">
        <v>0</v>
      </c>
      <c r="H90">
        <v>9.4215819999999995E-3</v>
      </c>
      <c r="I90">
        <v>0.14696701302147999</v>
      </c>
      <c r="J90">
        <v>0.13549339368771299</v>
      </c>
      <c r="K90">
        <v>0.16948805206418599</v>
      </c>
      <c r="L90">
        <v>1.9780655003471599E-2</v>
      </c>
      <c r="M90">
        <v>2.27866571797543E-2</v>
      </c>
      <c r="N90">
        <v>3.5346980058071002E-3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">
      <c r="A91" t="s">
        <v>15</v>
      </c>
      <c r="B91" t="s">
        <v>176</v>
      </c>
      <c r="C91">
        <v>1.613799687440743E-2</v>
      </c>
      <c r="D91">
        <v>3.1535930188583403E-2</v>
      </c>
      <c r="E91">
        <v>1.9179755016156898E-2</v>
      </c>
      <c r="F91">
        <v>0.10289633199999999</v>
      </c>
      <c r="G91">
        <v>6.8585266000000006E-2</v>
      </c>
      <c r="H91">
        <v>0.11902391399999999</v>
      </c>
      <c r="I91">
        <v>1.2745964017929541</v>
      </c>
      <c r="J91">
        <v>0.77720409682297498</v>
      </c>
      <c r="K91">
        <v>0.85262660009604696</v>
      </c>
      <c r="L91">
        <v>5.47323462971474E-3</v>
      </c>
      <c r="M91">
        <v>2.5681771448581E-3</v>
      </c>
      <c r="N91">
        <v>1.0396791967771799E-2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">
      <c r="A92" t="s">
        <v>15</v>
      </c>
      <c r="B92" t="s">
        <v>177</v>
      </c>
      <c r="C92">
        <v>8.2952442604834892E-2</v>
      </c>
      <c r="D92">
        <v>0.14079689325649261</v>
      </c>
      <c r="E92">
        <v>0.1218775832268731</v>
      </c>
      <c r="F92">
        <v>0</v>
      </c>
      <c r="G92">
        <v>9.0623432000000004E-2</v>
      </c>
      <c r="H92">
        <v>9.3582257000000002E-2</v>
      </c>
      <c r="I92">
        <v>0.331229733256029</v>
      </c>
      <c r="J92">
        <v>0.2100404832391978</v>
      </c>
      <c r="K92">
        <v>0.23251175749747499</v>
      </c>
      <c r="L92">
        <v>5.8992362530437504E-3</v>
      </c>
      <c r="M92">
        <v>1.820351491822703E-2</v>
      </c>
      <c r="N92">
        <v>1.8570038383889102E-2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 t="s">
        <v>15</v>
      </c>
      <c r="B93" t="s">
        <v>191</v>
      </c>
      <c r="C93">
        <v>1.318241559919176E-2</v>
      </c>
      <c r="D93">
        <v>8.6586928421848799E-3</v>
      </c>
      <c r="E93">
        <v>1.470466671676561E-2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9.9196647727828389E-4</v>
      </c>
      <c r="M93">
        <v>0</v>
      </c>
      <c r="N93">
        <v>0</v>
      </c>
      <c r="O93">
        <v>0.1153708011506869</v>
      </c>
      <c r="P93">
        <v>0.3660361405128244</v>
      </c>
      <c r="Q93">
        <v>0.20036746860156979</v>
      </c>
      <c r="R93">
        <v>7.0811022056454107E-2</v>
      </c>
      <c r="S93">
        <v>0</v>
      </c>
      <c r="T93">
        <v>1.0949717655154701E-2</v>
      </c>
      <c r="U93">
        <v>4.0357942834160998E-2</v>
      </c>
      <c r="V93">
        <v>0</v>
      </c>
      <c r="W93">
        <v>0</v>
      </c>
      <c r="X93">
        <v>1.9507402</v>
      </c>
      <c r="Y93">
        <v>0</v>
      </c>
      <c r="Z93">
        <v>0</v>
      </c>
    </row>
    <row r="94" spans="1:26" x14ac:dyDescent="0.2">
      <c r="A94" t="s">
        <v>15</v>
      </c>
      <c r="B94" t="s">
        <v>223</v>
      </c>
      <c r="C94">
        <v>0.29302975415928301</v>
      </c>
      <c r="D94">
        <v>0.25437026918713268</v>
      </c>
      <c r="E94">
        <v>0.42849815886375547</v>
      </c>
      <c r="F94">
        <v>0</v>
      </c>
      <c r="G94">
        <v>4.6062409999999998E-2</v>
      </c>
      <c r="H94">
        <v>6.1455625999999999E-2</v>
      </c>
      <c r="I94">
        <v>0</v>
      </c>
      <c r="J94">
        <v>0</v>
      </c>
      <c r="K94">
        <v>4.2413930150529099E-3</v>
      </c>
      <c r="L94">
        <v>0</v>
      </c>
      <c r="M94">
        <v>0</v>
      </c>
      <c r="N94">
        <v>0</v>
      </c>
      <c r="O94">
        <v>7.9880097613700907E-2</v>
      </c>
      <c r="P94">
        <v>0.23278787714242449</v>
      </c>
      <c r="Q94">
        <v>0.1846224098317627</v>
      </c>
      <c r="R94">
        <v>0.15215319534051361</v>
      </c>
      <c r="S94">
        <v>0.12559424063059629</v>
      </c>
      <c r="T94">
        <v>5.7656369119502393E-2</v>
      </c>
      <c r="U94">
        <v>0.14119414823793591</v>
      </c>
      <c r="V94">
        <v>3.5547397749127997E-2</v>
      </c>
      <c r="W94">
        <v>1.11871287873092E-2</v>
      </c>
      <c r="X94">
        <v>0</v>
      </c>
      <c r="Y94">
        <v>0</v>
      </c>
      <c r="Z94">
        <v>0</v>
      </c>
    </row>
    <row r="95" spans="1:26" x14ac:dyDescent="0.2">
      <c r="A95" t="s">
        <v>15</v>
      </c>
      <c r="B95" t="s">
        <v>178</v>
      </c>
      <c r="C95">
        <v>6.7263449965452807E-3</v>
      </c>
      <c r="D95">
        <v>1.4517704035267E-2</v>
      </c>
      <c r="E95">
        <v>1.9591192605395609E-2</v>
      </c>
      <c r="F95">
        <v>0</v>
      </c>
      <c r="G95">
        <v>1.8104720000000001E-2</v>
      </c>
      <c r="H95">
        <v>0</v>
      </c>
      <c r="I95">
        <v>0</v>
      </c>
      <c r="J95">
        <v>0</v>
      </c>
      <c r="K95">
        <v>0</v>
      </c>
      <c r="L95">
        <v>2.5138374128438599E-3</v>
      </c>
      <c r="M95">
        <v>0</v>
      </c>
      <c r="N95">
        <v>0</v>
      </c>
      <c r="O95">
        <v>0.47053630471049901</v>
      </c>
      <c r="P95">
        <v>0.8004941297847008</v>
      </c>
      <c r="Q95">
        <v>0.58337258511644297</v>
      </c>
      <c r="R95">
        <v>0.107142122548045</v>
      </c>
      <c r="S95">
        <v>8.7318311601446999E-2</v>
      </c>
      <c r="T95">
        <v>6.1326514778408198E-2</v>
      </c>
      <c r="U95">
        <v>1.0920384531596499E-2</v>
      </c>
      <c r="V95">
        <v>7.3427570623121496E-2</v>
      </c>
      <c r="W95">
        <v>2.0577400195474001E-2</v>
      </c>
      <c r="X95">
        <v>0</v>
      </c>
      <c r="Y95">
        <v>1.0635481099999999</v>
      </c>
      <c r="Z95">
        <v>6.8153259999999993E-2</v>
      </c>
    </row>
    <row r="96" spans="1:26" x14ac:dyDescent="0.2">
      <c r="A96" t="s">
        <v>15</v>
      </c>
      <c r="B96" t="s">
        <v>192</v>
      </c>
      <c r="C96">
        <v>0.40723158374255902</v>
      </c>
      <c r="D96">
        <v>0.37002647279623802</v>
      </c>
      <c r="E96">
        <v>0.41162170286315458</v>
      </c>
      <c r="F96">
        <v>0.24815333000000001</v>
      </c>
      <c r="G96">
        <v>0.33575240000000001</v>
      </c>
      <c r="H96">
        <v>0.24540488799999999</v>
      </c>
      <c r="I96">
        <v>7.1916048366770886E-3</v>
      </c>
      <c r="J96">
        <v>1.52822543977529E-3</v>
      </c>
      <c r="K96">
        <v>2.42912381804031E-3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">
      <c r="A97" t="s">
        <v>15</v>
      </c>
      <c r="B97" t="s">
        <v>224</v>
      </c>
      <c r="C97">
        <v>3.3873664157910002E-2</v>
      </c>
      <c r="D97">
        <v>8.6045054554280492E-2</v>
      </c>
      <c r="E97">
        <v>1.1965506876080299E-2</v>
      </c>
      <c r="F97">
        <v>1.6594034000000001E-2</v>
      </c>
      <c r="G97">
        <v>6.5421954000000004E-2</v>
      </c>
      <c r="H97">
        <v>0.10377395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">
      <c r="A98" t="s">
        <v>15</v>
      </c>
      <c r="B98" t="s">
        <v>179</v>
      </c>
      <c r="C98">
        <v>1.62426192204327E-2</v>
      </c>
      <c r="D98">
        <v>7.6821909766711998E-3</v>
      </c>
      <c r="E98">
        <v>0</v>
      </c>
      <c r="F98">
        <v>0</v>
      </c>
      <c r="G98">
        <v>1.7960642999999998E-2</v>
      </c>
      <c r="H98">
        <v>1.8993099999999999E-2</v>
      </c>
      <c r="I98">
        <v>0.51275385474472202</v>
      </c>
      <c r="J98">
        <v>0.35543239938971999</v>
      </c>
      <c r="K98">
        <v>0.28400566347061501</v>
      </c>
      <c r="L98">
        <v>2.2883682609843602E-2</v>
      </c>
      <c r="M98">
        <v>2.4468662646487199E-2</v>
      </c>
      <c r="N98">
        <v>4.0377685848928301E-3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">
      <c r="A99" t="s">
        <v>15</v>
      </c>
      <c r="B99" t="s">
        <v>225</v>
      </c>
      <c r="C99">
        <v>3.3749425122004913E-2</v>
      </c>
      <c r="D99">
        <v>7.9977196141406498E-2</v>
      </c>
      <c r="E99">
        <v>4.7570827384083601E-2</v>
      </c>
      <c r="F99">
        <v>5.4667822999999997E-2</v>
      </c>
      <c r="G99">
        <v>0.26941004000000002</v>
      </c>
      <c r="H99">
        <v>0.18043435999999999</v>
      </c>
      <c r="I99">
        <v>0.29035737155081298</v>
      </c>
      <c r="J99">
        <v>0.29947156237685801</v>
      </c>
      <c r="K99">
        <v>0.21041677016576399</v>
      </c>
      <c r="L99">
        <v>4.5234404795665897E-3</v>
      </c>
      <c r="M99">
        <v>0</v>
      </c>
      <c r="N99">
        <v>7.1301341917662795E-4</v>
      </c>
      <c r="O99">
        <v>3.7595373083726901E-4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">
      <c r="A100" t="s">
        <v>15</v>
      </c>
      <c r="B100" t="s">
        <v>226</v>
      </c>
      <c r="C100">
        <v>6.8429553197193488E-2</v>
      </c>
      <c r="D100">
        <v>9.5770561573240501E-2</v>
      </c>
      <c r="E100">
        <v>8.6944841061095707E-2</v>
      </c>
      <c r="F100">
        <v>4.6418372999999999E-2</v>
      </c>
      <c r="G100">
        <v>0</v>
      </c>
      <c r="H100">
        <v>9.6762089999999995E-2</v>
      </c>
      <c r="I100">
        <v>0</v>
      </c>
      <c r="J100">
        <v>0</v>
      </c>
      <c r="K100">
        <v>0</v>
      </c>
      <c r="L100">
        <v>1.2553907235548899E-3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">
      <c r="A101" t="s">
        <v>15</v>
      </c>
      <c r="B101" t="s">
        <v>193</v>
      </c>
      <c r="C101">
        <v>0.32848365166861793</v>
      </c>
      <c r="D101">
        <v>0.28594571101189342</v>
      </c>
      <c r="E101">
        <v>0.32670399038100301</v>
      </c>
      <c r="F101">
        <v>9.3341339999999991E-3</v>
      </c>
      <c r="G101">
        <v>4.5198717999999999E-2</v>
      </c>
      <c r="H101">
        <v>9.7287989999999998E-3</v>
      </c>
      <c r="I101">
        <v>0</v>
      </c>
      <c r="J101">
        <v>0</v>
      </c>
      <c r="K101">
        <v>0</v>
      </c>
      <c r="L101">
        <v>0</v>
      </c>
      <c r="M101">
        <v>5.9132601395677402E-3</v>
      </c>
      <c r="N101">
        <v>0</v>
      </c>
      <c r="O101">
        <v>0.14942818108885611</v>
      </c>
      <c r="P101">
        <v>0.3445643784398067</v>
      </c>
      <c r="Q101">
        <v>0.17756068445521561</v>
      </c>
      <c r="R101">
        <v>0.91419442863705214</v>
      </c>
      <c r="S101">
        <v>0.96215559215494506</v>
      </c>
      <c r="T101">
        <v>1.1391686850218921</v>
      </c>
      <c r="U101">
        <v>0.44049647252029078</v>
      </c>
      <c r="V101">
        <v>0.42403124017345889</v>
      </c>
      <c r="W101">
        <v>0.47759566949853399</v>
      </c>
      <c r="X101">
        <v>0</v>
      </c>
      <c r="Y101">
        <v>0</v>
      </c>
      <c r="Z101">
        <v>0</v>
      </c>
    </row>
    <row r="102" spans="1:26" x14ac:dyDescent="0.2">
      <c r="A102" t="s">
        <v>15</v>
      </c>
      <c r="B102" t="s">
        <v>194</v>
      </c>
      <c r="C102">
        <v>0.14611600438541991</v>
      </c>
      <c r="D102">
        <v>5.3905160784136687E-2</v>
      </c>
      <c r="E102">
        <v>9.4782821071616494E-2</v>
      </c>
      <c r="F102">
        <v>1.2311707999999999E-2</v>
      </c>
      <c r="G102">
        <v>1.8673757999999999E-2</v>
      </c>
      <c r="H102">
        <v>9.5727260000000002E-3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8.9031583470120079</v>
      </c>
      <c r="P102">
        <v>7.065792178476265</v>
      </c>
      <c r="Q102">
        <v>5.1945102635922016</v>
      </c>
      <c r="R102">
        <v>1.1074849334604031</v>
      </c>
      <c r="S102">
        <v>1.0455398689613999</v>
      </c>
      <c r="T102">
        <v>1.2936993583991681</v>
      </c>
      <c r="U102">
        <v>1.014729950900165</v>
      </c>
      <c r="V102">
        <v>0.52257819184333099</v>
      </c>
      <c r="W102">
        <v>0.8708142244943996</v>
      </c>
      <c r="X102">
        <v>0</v>
      </c>
      <c r="Y102">
        <v>3.1724019800000001</v>
      </c>
      <c r="Z102">
        <v>0.40518416000000002</v>
      </c>
    </row>
    <row r="103" spans="1:26" x14ac:dyDescent="0.2">
      <c r="A103" t="s">
        <v>15</v>
      </c>
      <c r="B103" t="s">
        <v>180</v>
      </c>
      <c r="C103">
        <v>6.7254731436617407E-2</v>
      </c>
      <c r="D103">
        <v>5.9512990861523007E-2</v>
      </c>
      <c r="E103">
        <v>5.8538739009543803E-2</v>
      </c>
      <c r="F103">
        <v>0</v>
      </c>
      <c r="G103">
        <v>0</v>
      </c>
      <c r="H103">
        <v>1.5106329E-2</v>
      </c>
      <c r="I103">
        <v>1.7986582202047099E-2</v>
      </c>
      <c r="J103">
        <v>9.6956010683264104E-3</v>
      </c>
      <c r="K103">
        <v>2.9094631294815099E-2</v>
      </c>
      <c r="L103">
        <v>2.5286894063114199E-2</v>
      </c>
      <c r="M103">
        <v>7.5143916861610104E-3</v>
      </c>
      <c r="N103">
        <v>9.3206698629033601E-3</v>
      </c>
      <c r="O103">
        <v>3.51818844009412E-2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">
      <c r="A104" t="s">
        <v>15</v>
      </c>
      <c r="B104" t="s">
        <v>227</v>
      </c>
      <c r="C104">
        <v>3.9505833785607E-2</v>
      </c>
      <c r="D104">
        <v>1.559580725094969E-2</v>
      </c>
      <c r="E104">
        <v>7.4154580296084696E-2</v>
      </c>
      <c r="F104">
        <v>0</v>
      </c>
      <c r="G104">
        <v>0</v>
      </c>
      <c r="H104">
        <v>2.1060006999999999E-2</v>
      </c>
      <c r="I104">
        <v>0</v>
      </c>
      <c r="J104">
        <v>0</v>
      </c>
      <c r="K104">
        <v>0</v>
      </c>
      <c r="L104">
        <v>7.8660557994895291E-4</v>
      </c>
      <c r="M104">
        <v>0</v>
      </c>
      <c r="N104">
        <v>0</v>
      </c>
      <c r="O104">
        <v>4.2888935883105203E-2</v>
      </c>
      <c r="P104">
        <v>2.6750495487284101E-2</v>
      </c>
      <c r="Q104">
        <v>3.7584631039231417E-2</v>
      </c>
      <c r="R104">
        <v>0.1256333431605795</v>
      </c>
      <c r="S104">
        <v>3.7463230799105303E-2</v>
      </c>
      <c r="T104">
        <v>0.18901250143365039</v>
      </c>
      <c r="U104">
        <v>6.2729369969221793E-2</v>
      </c>
      <c r="V104">
        <v>2.65088082371094E-2</v>
      </c>
      <c r="W104">
        <v>0</v>
      </c>
      <c r="X104">
        <v>0</v>
      </c>
      <c r="Y104">
        <v>0</v>
      </c>
      <c r="Z104">
        <v>0</v>
      </c>
    </row>
    <row r="105" spans="1:26" x14ac:dyDescent="0.2">
      <c r="A105" t="s">
        <v>15</v>
      </c>
      <c r="B105" t="s">
        <v>228</v>
      </c>
      <c r="C105">
        <v>5.4802492627394103E-2</v>
      </c>
      <c r="D105">
        <v>6.02129112737987E-2</v>
      </c>
      <c r="E105">
        <v>0.10222251446607</v>
      </c>
      <c r="F105">
        <v>3.5503484000000002E-2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3.2344341329369501E-3</v>
      </c>
      <c r="M105">
        <v>4.9014757769703802E-3</v>
      </c>
      <c r="N105">
        <v>0</v>
      </c>
      <c r="O105">
        <v>2.2976815067688498E-2</v>
      </c>
      <c r="P105">
        <v>9.2992588053229505E-2</v>
      </c>
      <c r="Q105">
        <v>5.1675721543655788E-2</v>
      </c>
      <c r="R105">
        <v>0.20263553029420001</v>
      </c>
      <c r="S105">
        <v>0.288960968908899</v>
      </c>
      <c r="T105">
        <v>0.416203962947721</v>
      </c>
      <c r="U105">
        <v>0.103321919529893</v>
      </c>
      <c r="V105">
        <v>0.175045887661155</v>
      </c>
      <c r="W105">
        <v>0.207773851590106</v>
      </c>
      <c r="X105">
        <v>0</v>
      </c>
      <c r="Y105">
        <v>0</v>
      </c>
      <c r="Z105">
        <v>0</v>
      </c>
    </row>
    <row r="106" spans="1:26" x14ac:dyDescent="0.2">
      <c r="A106" t="s">
        <v>15</v>
      </c>
      <c r="B106" t="s">
        <v>186</v>
      </c>
      <c r="C106">
        <v>0.4214318875832887</v>
      </c>
      <c r="D106">
        <v>0.4091429926113242</v>
      </c>
      <c r="E106">
        <v>0.5272131209138049</v>
      </c>
      <c r="F106">
        <v>8.6385382999999996E-2</v>
      </c>
      <c r="G106">
        <v>0.14701967299999999</v>
      </c>
      <c r="H106">
        <v>0.143169779</v>
      </c>
      <c r="I106">
        <v>6.5237429831756524E-2</v>
      </c>
      <c r="J106">
        <v>8.3340069313233095E-2</v>
      </c>
      <c r="K106">
        <v>0.1111590656929471</v>
      </c>
      <c r="L106">
        <v>2.8116718332860731E-2</v>
      </c>
      <c r="M106">
        <v>3.9053499818894062E-2</v>
      </c>
      <c r="N106">
        <v>5.5983436962351543E-2</v>
      </c>
      <c r="O106">
        <v>0.16483557059370499</v>
      </c>
      <c r="P106">
        <v>0.168070062483759</v>
      </c>
      <c r="Q106">
        <v>0.14186013900524599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2.6193519284264302E-2</v>
      </c>
      <c r="X106">
        <v>0</v>
      </c>
      <c r="Y106">
        <v>0</v>
      </c>
      <c r="Z106">
        <v>0</v>
      </c>
    </row>
    <row r="107" spans="1:26" x14ac:dyDescent="0.2">
      <c r="A107" t="s">
        <v>15</v>
      </c>
      <c r="B107" t="s">
        <v>229</v>
      </c>
      <c r="C107">
        <v>5.596423659471695E-2</v>
      </c>
      <c r="D107">
        <v>8.9888972302342995E-3</v>
      </c>
      <c r="E107">
        <v>4.0412940557601272E-2</v>
      </c>
      <c r="F107">
        <v>2.27792195E-2</v>
      </c>
      <c r="G107">
        <v>0</v>
      </c>
      <c r="H107">
        <v>1.3985147999999999E-2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0.51982652420705644</v>
      </c>
      <c r="P107">
        <v>0.75052651584201779</v>
      </c>
      <c r="Q107">
        <v>0.37965403298588052</v>
      </c>
      <c r="R107">
        <v>0.20070893296675421</v>
      </c>
      <c r="S107">
        <v>0.39218083614421451</v>
      </c>
      <c r="T107">
        <v>0.5625577676878758</v>
      </c>
      <c r="U107">
        <v>0.40068035950687919</v>
      </c>
      <c r="V107">
        <v>0.1997338150014259</v>
      </c>
      <c r="W107">
        <v>8.27531764528983E-2</v>
      </c>
      <c r="X107">
        <v>0</v>
      </c>
      <c r="Y107">
        <v>0</v>
      </c>
      <c r="Z107">
        <v>0</v>
      </c>
    </row>
    <row r="108" spans="1:26" x14ac:dyDescent="0.2">
      <c r="A108" t="s">
        <v>15</v>
      </c>
      <c r="B108" t="s">
        <v>230</v>
      </c>
      <c r="C108">
        <v>1.29448356884259E-2</v>
      </c>
      <c r="D108">
        <v>3.3068417220299899E-2</v>
      </c>
      <c r="E108">
        <v>2.8466220786052501E-2</v>
      </c>
      <c r="F108">
        <v>1.8078737000000001E-2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0.108737903185201</v>
      </c>
      <c r="P108">
        <v>0.16856651941030279</v>
      </c>
      <c r="Q108">
        <v>0.2268381520140659</v>
      </c>
      <c r="R108">
        <v>0.17839879879056311</v>
      </c>
      <c r="S108">
        <v>0.122163647217048</v>
      </c>
      <c r="T108">
        <v>5.2542452925659282E-2</v>
      </c>
      <c r="U108">
        <v>5.5518006066259597E-2</v>
      </c>
      <c r="V108">
        <v>0.1129019283786848</v>
      </c>
      <c r="W108">
        <v>2.3727539282760699E-2</v>
      </c>
      <c r="X108">
        <v>0</v>
      </c>
      <c r="Y108">
        <v>1.61346934</v>
      </c>
      <c r="Z108">
        <v>0.21241109999999999</v>
      </c>
    </row>
    <row r="109" spans="1:26" x14ac:dyDescent="0.2">
      <c r="A109" t="s">
        <v>15</v>
      </c>
      <c r="B109" t="s">
        <v>181</v>
      </c>
      <c r="C109">
        <v>1.685051864348408</v>
      </c>
      <c r="D109">
        <v>1.726079937684506</v>
      </c>
      <c r="E109">
        <v>1.7113737130833371</v>
      </c>
      <c r="F109">
        <v>4.0454640800000004</v>
      </c>
      <c r="G109">
        <v>4.2150549399999999</v>
      </c>
      <c r="H109">
        <v>4.8129010299999999</v>
      </c>
      <c r="I109">
        <v>0.25842219306987563</v>
      </c>
      <c r="J109">
        <v>0.97265444759912856</v>
      </c>
      <c r="K109">
        <v>0.57496853627436351</v>
      </c>
      <c r="L109">
        <v>0.31324565563911239</v>
      </c>
      <c r="M109">
        <v>0.34731907256541522</v>
      </c>
      <c r="N109">
        <v>0.30627227341687951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">
      <c r="A110" t="s">
        <v>15</v>
      </c>
      <c r="B110" t="s">
        <v>32</v>
      </c>
      <c r="C110">
        <v>0.3667492747273825</v>
      </c>
      <c r="D110">
        <v>0.32686565479247931</v>
      </c>
      <c r="E110">
        <v>0.27436123844593058</v>
      </c>
      <c r="F110">
        <v>1.8873414000000002E-2</v>
      </c>
      <c r="G110">
        <v>0.13681613500000001</v>
      </c>
      <c r="H110">
        <v>2.7122736000000001E-2</v>
      </c>
      <c r="I110">
        <v>0</v>
      </c>
      <c r="J110">
        <v>1.3404600000673601E-3</v>
      </c>
      <c r="K110">
        <v>0</v>
      </c>
      <c r="L110">
        <v>3.8926891520550799E-3</v>
      </c>
      <c r="M110">
        <v>0</v>
      </c>
      <c r="N110">
        <v>2.7596260112576899E-3</v>
      </c>
      <c r="O110">
        <v>14.442917132412919</v>
      </c>
      <c r="P110">
        <v>18.540769585807539</v>
      </c>
      <c r="Q110">
        <v>15.376022493968421</v>
      </c>
      <c r="R110">
        <v>5.4094259288461668</v>
      </c>
      <c r="S110">
        <v>5.6695698452996597</v>
      </c>
      <c r="T110">
        <v>5.0685791004095151</v>
      </c>
      <c r="U110">
        <v>3.7958921479362981</v>
      </c>
      <c r="V110">
        <v>3.3704724783724682</v>
      </c>
      <c r="W110">
        <v>3.9115630403729051</v>
      </c>
      <c r="X110">
        <v>11.2904684</v>
      </c>
      <c r="Y110">
        <v>12.99383514</v>
      </c>
      <c r="Z110">
        <v>11.498177200000001</v>
      </c>
    </row>
    <row r="111" spans="1:26" x14ac:dyDescent="0.2">
      <c r="A111" t="s">
        <v>15</v>
      </c>
      <c r="B111" t="s">
        <v>298</v>
      </c>
      <c r="C111">
        <v>8.708450216110533</v>
      </c>
      <c r="D111">
        <v>9.4362282192105571</v>
      </c>
      <c r="E111">
        <v>9.0135267152626408</v>
      </c>
      <c r="F111">
        <v>2.9699384045000001</v>
      </c>
      <c r="G111">
        <v>3.3401520630000001</v>
      </c>
      <c r="H111">
        <v>2.9493070554999998</v>
      </c>
      <c r="I111">
        <v>1.79950874436806</v>
      </c>
      <c r="J111">
        <v>1.192561457396611</v>
      </c>
      <c r="K111">
        <v>0.95744531107688735</v>
      </c>
      <c r="L111">
        <v>1.2438171701268339</v>
      </c>
      <c r="M111">
        <v>1.1654284640063739</v>
      </c>
      <c r="N111">
        <v>0.98485902800426195</v>
      </c>
      <c r="O111">
        <v>26.295912510196072</v>
      </c>
      <c r="P111">
        <v>21.16516501374953</v>
      </c>
      <c r="Q111">
        <v>17.57444115648337</v>
      </c>
      <c r="R111">
        <v>10.090474655989251</v>
      </c>
      <c r="S111">
        <v>9.1960400739339629</v>
      </c>
      <c r="T111">
        <v>8.9683382471006521</v>
      </c>
      <c r="U111">
        <v>6.4159130391067061</v>
      </c>
      <c r="V111">
        <v>6.127330032834359</v>
      </c>
      <c r="W111">
        <v>6.4364258326441623</v>
      </c>
      <c r="X111">
        <v>26.773268049999999</v>
      </c>
      <c r="Y111">
        <v>34.50513806</v>
      </c>
      <c r="Z111">
        <v>31.03051816</v>
      </c>
    </row>
    <row r="112" spans="1:26" x14ac:dyDescent="0.2">
      <c r="A112" t="s">
        <v>1</v>
      </c>
      <c r="B112" t="s">
        <v>260</v>
      </c>
      <c r="C112">
        <v>0.27926755639253442</v>
      </c>
      <c r="D112">
        <v>0.37413286069890428</v>
      </c>
      <c r="E112">
        <v>0.27010408055910418</v>
      </c>
      <c r="F112">
        <v>2.6524827000000001E-2</v>
      </c>
      <c r="G112">
        <v>5.2693900000000002E-2</v>
      </c>
      <c r="H112">
        <v>0.15205489</v>
      </c>
      <c r="I112">
        <v>0</v>
      </c>
      <c r="J112">
        <v>0</v>
      </c>
      <c r="K112">
        <v>0</v>
      </c>
      <c r="L112">
        <v>0</v>
      </c>
      <c r="M112">
        <v>1.90311820583789E-3</v>
      </c>
      <c r="N112">
        <v>1.2634861866854001E-2</v>
      </c>
      <c r="O112">
        <v>0.30167601515899151</v>
      </c>
      <c r="P112">
        <v>0.2311782707008963</v>
      </c>
      <c r="Q112">
        <v>0.59871493856946156</v>
      </c>
      <c r="R112">
        <v>2.8129280851268059</v>
      </c>
      <c r="S112">
        <v>3.364477176125372</v>
      </c>
      <c r="T112">
        <v>4.09258347220067</v>
      </c>
      <c r="U112">
        <v>5.435480357272529</v>
      </c>
      <c r="V112">
        <v>7.4811805743453226</v>
      </c>
      <c r="W112">
        <v>7.4982106608525703</v>
      </c>
      <c r="X112">
        <v>21.130100469999999</v>
      </c>
      <c r="Y112">
        <v>27.912148720000001</v>
      </c>
      <c r="Z112">
        <v>23.939219560000002</v>
      </c>
    </row>
    <row r="113" spans="1:26" x14ac:dyDescent="0.2">
      <c r="A113" t="s">
        <v>1</v>
      </c>
      <c r="B113" t="s">
        <v>181</v>
      </c>
      <c r="C113">
        <v>1.7161377789111829</v>
      </c>
      <c r="D113">
        <v>1.993362045122288</v>
      </c>
      <c r="E113">
        <v>1.7803693544750909</v>
      </c>
      <c r="F113">
        <v>7.7187191700000009</v>
      </c>
      <c r="G113">
        <v>9.5423815400000009</v>
      </c>
      <c r="H113">
        <v>9.7038597850000006</v>
      </c>
      <c r="I113">
        <v>0.42017407691410191</v>
      </c>
      <c r="J113">
        <v>0.93941154479595057</v>
      </c>
      <c r="K113">
        <v>0.57038352625565103</v>
      </c>
      <c r="L113">
        <v>0.35101189137386501</v>
      </c>
      <c r="M113">
        <v>0.50301513460775704</v>
      </c>
      <c r="N113">
        <v>0.31927552555030791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">
      <c r="A114" t="s">
        <v>1</v>
      </c>
      <c r="B114" t="s">
        <v>185</v>
      </c>
      <c r="C114">
        <v>2.146331787974098</v>
      </c>
      <c r="D114">
        <v>2.3385102984257449</v>
      </c>
      <c r="E114">
        <v>2.5693131434583338</v>
      </c>
      <c r="F114">
        <v>3.5980489819999999</v>
      </c>
      <c r="G114">
        <v>3.6737740799999998</v>
      </c>
      <c r="H114">
        <v>5.805046344</v>
      </c>
      <c r="I114">
        <v>2.3636574142106128</v>
      </c>
      <c r="J114">
        <v>2.267686999221993</v>
      </c>
      <c r="K114">
        <v>2.1491214996605188</v>
      </c>
      <c r="L114">
        <v>0.47207519631523942</v>
      </c>
      <c r="M114">
        <v>0.53661222589978719</v>
      </c>
      <c r="N114">
        <v>0.35675098270414229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">
      <c r="A115" t="s">
        <v>1</v>
      </c>
      <c r="B115" t="s">
        <v>195</v>
      </c>
      <c r="C115">
        <v>0.4427443313215324</v>
      </c>
      <c r="D115">
        <v>0.43163075811540808</v>
      </c>
      <c r="E115">
        <v>0.25742654242128171</v>
      </c>
      <c r="F115">
        <v>0.28666816099999998</v>
      </c>
      <c r="G115">
        <v>0.33154894400000001</v>
      </c>
      <c r="H115">
        <v>0.37467199099999998</v>
      </c>
      <c r="I115">
        <v>9.7972101026239677</v>
      </c>
      <c r="J115">
        <v>6.6495875896306336</v>
      </c>
      <c r="K115">
        <v>8.7711759153460171</v>
      </c>
      <c r="L115">
        <v>6.0495286478451753E-2</v>
      </c>
      <c r="M115">
        <v>7.6288196795499974E-2</v>
      </c>
      <c r="N115">
        <v>1.9022933944588299E-2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">
      <c r="A116" t="s">
        <v>1</v>
      </c>
      <c r="B116" t="s">
        <v>34</v>
      </c>
      <c r="C116">
        <v>0.37587975405030172</v>
      </c>
      <c r="D116">
        <v>0.26875250475550733</v>
      </c>
      <c r="E116">
        <v>0.3244664462313066</v>
      </c>
      <c r="F116">
        <v>0.19099272</v>
      </c>
      <c r="G116">
        <v>4.9755862999999997E-2</v>
      </c>
      <c r="H116">
        <v>0.20815117999999999</v>
      </c>
      <c r="I116">
        <v>0</v>
      </c>
      <c r="J116">
        <v>0</v>
      </c>
      <c r="K116">
        <v>0</v>
      </c>
      <c r="L116">
        <v>1.4693083249396101E-3</v>
      </c>
      <c r="M116">
        <v>0</v>
      </c>
      <c r="N116">
        <v>0</v>
      </c>
      <c r="O116">
        <v>0.76596880255379995</v>
      </c>
      <c r="P116">
        <v>0.40283601019288112</v>
      </c>
      <c r="Q116">
        <v>0.51533696007823993</v>
      </c>
      <c r="R116">
        <v>2.4357469506969318</v>
      </c>
      <c r="S116">
        <v>2.5588415094611001</v>
      </c>
      <c r="T116">
        <v>2.1281784878190289</v>
      </c>
      <c r="U116">
        <v>1.843400010054574</v>
      </c>
      <c r="V116">
        <v>1.1272642178621839</v>
      </c>
      <c r="W116">
        <v>1.256717540034584</v>
      </c>
      <c r="X116">
        <v>3.56743655</v>
      </c>
      <c r="Y116">
        <v>0.106339276</v>
      </c>
      <c r="Z116">
        <v>4.5908318399999999</v>
      </c>
    </row>
    <row r="117" spans="1:26" x14ac:dyDescent="0.2">
      <c r="A117" t="s">
        <v>1</v>
      </c>
      <c r="B117" t="s">
        <v>183</v>
      </c>
      <c r="C117">
        <v>3.91104920955638</v>
      </c>
      <c r="D117">
        <v>3.7435045692385032</v>
      </c>
      <c r="E117">
        <v>3.7343315548207761</v>
      </c>
      <c r="F117">
        <v>0.60111866700000005</v>
      </c>
      <c r="G117">
        <v>1.3300505300000001</v>
      </c>
      <c r="H117">
        <v>2.0074687400000002</v>
      </c>
      <c r="I117">
        <v>0.34457272070656708</v>
      </c>
      <c r="J117">
        <v>0.35046629820856612</v>
      </c>
      <c r="K117">
        <v>0.30305777733618211</v>
      </c>
      <c r="L117">
        <v>0.18557229681495019</v>
      </c>
      <c r="M117">
        <v>0.1152384533120881</v>
      </c>
      <c r="N117">
        <v>0.1025511356059096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">
      <c r="A118" t="s">
        <v>1</v>
      </c>
      <c r="B118" t="s">
        <v>261</v>
      </c>
      <c r="C118">
        <v>3.350530631461248E-2</v>
      </c>
      <c r="D118">
        <v>4.5873009601327598E-2</v>
      </c>
      <c r="E118">
        <v>6.1901630720673312E-2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0.1710085965848632</v>
      </c>
      <c r="P118">
        <v>0.30290853944699392</v>
      </c>
      <c r="Q118">
        <v>0.53712978976625059</v>
      </c>
      <c r="R118">
        <v>2.853352347911942</v>
      </c>
      <c r="S118">
        <v>2.552124163028703</v>
      </c>
      <c r="T118">
        <v>2.3907355808477782</v>
      </c>
      <c r="U118">
        <v>1.8068739770867419</v>
      </c>
      <c r="V118">
        <v>1.4226783768565301</v>
      </c>
      <c r="W118">
        <v>1.6966393504247801</v>
      </c>
      <c r="X118">
        <v>1.25940622</v>
      </c>
      <c r="Y118">
        <v>0</v>
      </c>
      <c r="Z118">
        <v>0.58821500000000004</v>
      </c>
    </row>
    <row r="119" spans="1:26" x14ac:dyDescent="0.2">
      <c r="A119" t="s">
        <v>1</v>
      </c>
      <c r="B119" t="s">
        <v>46</v>
      </c>
      <c r="C119">
        <v>2.70753912984723E-2</v>
      </c>
      <c r="D119">
        <v>1.6820667972432202E-2</v>
      </c>
      <c r="E119">
        <v>5.176598782595622E-2</v>
      </c>
      <c r="F119">
        <v>0.16029839000000001</v>
      </c>
      <c r="G119">
        <v>6.7711690000000005E-2</v>
      </c>
      <c r="H119">
        <v>0.31000638000000003</v>
      </c>
      <c r="I119">
        <v>3.3450981754252901E-2</v>
      </c>
      <c r="J119">
        <v>1.216517969910377E-2</v>
      </c>
      <c r="K119">
        <v>3.5189693145875799E-2</v>
      </c>
      <c r="L119">
        <v>2.44477258725393E-3</v>
      </c>
      <c r="M119">
        <v>0</v>
      </c>
      <c r="N119">
        <v>0</v>
      </c>
      <c r="O119">
        <v>0.26869278873750002</v>
      </c>
      <c r="P119">
        <v>0.31687526907577601</v>
      </c>
      <c r="Q119">
        <v>0.41752271509677502</v>
      </c>
      <c r="R119">
        <v>0</v>
      </c>
      <c r="S119">
        <v>4.3152118409412903E-2</v>
      </c>
      <c r="T119">
        <v>2.69863651390135E-2</v>
      </c>
      <c r="U119">
        <v>5.4976176245510398E-2</v>
      </c>
      <c r="V119">
        <v>6.7365280408345302E-2</v>
      </c>
      <c r="W119">
        <v>3.3110292459213597E-2</v>
      </c>
      <c r="X119">
        <v>2.8683249000000002</v>
      </c>
      <c r="Y119">
        <v>5.0298470000000002</v>
      </c>
      <c r="Z119">
        <v>3.8510600799999999</v>
      </c>
    </row>
    <row r="120" spans="1:26" x14ac:dyDescent="0.2">
      <c r="A120" t="s">
        <v>1</v>
      </c>
      <c r="B120" t="s">
        <v>262</v>
      </c>
      <c r="C120">
        <v>3.9122218516847503E-2</v>
      </c>
      <c r="D120">
        <v>3.6886934630820198E-2</v>
      </c>
      <c r="E120">
        <v>1.6752461110693631E-2</v>
      </c>
      <c r="F120">
        <v>5.3255280000000002E-2</v>
      </c>
      <c r="G120">
        <v>0</v>
      </c>
      <c r="H120">
        <v>0.119439184</v>
      </c>
      <c r="I120">
        <v>0</v>
      </c>
      <c r="J120">
        <v>0</v>
      </c>
      <c r="K120">
        <v>0</v>
      </c>
      <c r="L120">
        <v>1.9105897769389501E-3</v>
      </c>
      <c r="M120">
        <v>7.0291481653234999E-4</v>
      </c>
      <c r="N120">
        <v>0</v>
      </c>
      <c r="O120">
        <v>2.720199792554101</v>
      </c>
      <c r="P120">
        <v>2.4676856962226581</v>
      </c>
      <c r="Q120">
        <v>2.2352841769170779</v>
      </c>
      <c r="R120">
        <v>0.4245507462993563</v>
      </c>
      <c r="S120">
        <v>0.25351869565530077</v>
      </c>
      <c r="T120">
        <v>0.48899968291020962</v>
      </c>
      <c r="U120">
        <v>0.28525943593839859</v>
      </c>
      <c r="V120">
        <v>0.2465940751899493</v>
      </c>
      <c r="W120">
        <v>0.25374032027667071</v>
      </c>
      <c r="X120">
        <v>0.25383398000000001</v>
      </c>
      <c r="Y120">
        <v>0.90768154000000001</v>
      </c>
      <c r="Z120">
        <v>1.9759158999999999</v>
      </c>
    </row>
    <row r="121" spans="1:26" x14ac:dyDescent="0.2">
      <c r="A121" t="s">
        <v>1</v>
      </c>
      <c r="B121" t="s">
        <v>263</v>
      </c>
      <c r="C121">
        <v>1.4113118552375469E-2</v>
      </c>
      <c r="D121">
        <v>6.7847123835112306E-3</v>
      </c>
      <c r="E121">
        <v>1.6371082888705191E-2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5.4664343809686801E-2</v>
      </c>
      <c r="P121">
        <v>9.2403045452958771E-2</v>
      </c>
      <c r="Q121">
        <v>6.7122346909056899E-2</v>
      </c>
      <c r="R121">
        <v>0.77226385470302283</v>
      </c>
      <c r="S121">
        <v>0.88279884640003436</v>
      </c>
      <c r="T121">
        <v>0.96161864218103776</v>
      </c>
      <c r="U121">
        <v>1.1226434592203229</v>
      </c>
      <c r="V121">
        <v>1.343839352965696</v>
      </c>
      <c r="W121">
        <v>0.85014660551838195</v>
      </c>
      <c r="X121">
        <v>2.2796057799999998</v>
      </c>
      <c r="Y121">
        <v>1.48874912</v>
      </c>
      <c r="Z121">
        <v>0.59201236999999995</v>
      </c>
    </row>
    <row r="122" spans="1:26" x14ac:dyDescent="0.2">
      <c r="A122" t="s">
        <v>1</v>
      </c>
      <c r="B122" t="s">
        <v>299</v>
      </c>
      <c r="C122">
        <v>15.427201374040139</v>
      </c>
      <c r="D122">
        <v>16.506375484723112</v>
      </c>
      <c r="E122">
        <v>16.342321710377998</v>
      </c>
      <c r="F122">
        <v>8.7538529594999996</v>
      </c>
      <c r="G122">
        <v>9.8201189880000008</v>
      </c>
      <c r="H122">
        <v>10.991589188000001</v>
      </c>
      <c r="I122">
        <v>5.3639611092260129</v>
      </c>
      <c r="J122">
        <v>4.3922807354342854</v>
      </c>
      <c r="K122">
        <v>4.2268420769370891</v>
      </c>
      <c r="L122">
        <v>11.67833699234297</v>
      </c>
      <c r="M122">
        <v>14.69333297771751</v>
      </c>
      <c r="N122">
        <v>12.517023195382841</v>
      </c>
      <c r="O122">
        <v>23.696303233537751</v>
      </c>
      <c r="P122">
        <v>23.037230390921039</v>
      </c>
      <c r="Q122">
        <v>21.673269355923189</v>
      </c>
      <c r="R122">
        <v>19.172783556046159</v>
      </c>
      <c r="S122">
        <v>17.790820106010369</v>
      </c>
      <c r="T122">
        <v>17.71382983747462</v>
      </c>
      <c r="U122">
        <v>18.889243281589518</v>
      </c>
      <c r="V122">
        <v>16.99248246762269</v>
      </c>
      <c r="W122">
        <v>17.24407187429517</v>
      </c>
      <c r="X122">
        <v>39.055488429999997</v>
      </c>
      <c r="Y122">
        <v>31.462741300000001</v>
      </c>
      <c r="Z122">
        <v>22.191044359999999</v>
      </c>
    </row>
    <row r="123" spans="1:26" x14ac:dyDescent="0.2">
      <c r="A123" t="s">
        <v>2</v>
      </c>
      <c r="B123" t="s">
        <v>34</v>
      </c>
      <c r="C123">
        <v>0.76590532113611165</v>
      </c>
      <c r="D123">
        <v>0.86045336780253234</v>
      </c>
      <c r="E123">
        <v>0.86377846246336432</v>
      </c>
      <c r="F123">
        <v>0.200355266</v>
      </c>
      <c r="G123">
        <v>0.16424470299999999</v>
      </c>
      <c r="H123">
        <v>0.22627190599999999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5.608897347847833</v>
      </c>
      <c r="P123">
        <v>3.5624120049490582</v>
      </c>
      <c r="Q123">
        <v>5.6637842074795293</v>
      </c>
      <c r="R123">
        <v>12.32020596079615</v>
      </c>
      <c r="S123">
        <v>13.858770308465729</v>
      </c>
      <c r="T123">
        <v>10.60941284416049</v>
      </c>
      <c r="U123">
        <v>8.2817850220362725</v>
      </c>
      <c r="V123">
        <v>8.8691452097669394</v>
      </c>
      <c r="W123">
        <v>9.5170137583640333</v>
      </c>
      <c r="X123">
        <v>18.150745000000001</v>
      </c>
      <c r="Y123">
        <v>20.011608129999999</v>
      </c>
      <c r="Z123">
        <v>19.638291290000002</v>
      </c>
    </row>
    <row r="124" spans="1:26" x14ac:dyDescent="0.2">
      <c r="A124" t="s">
        <v>2</v>
      </c>
      <c r="B124" t="s">
        <v>212</v>
      </c>
      <c r="C124">
        <v>7.360297563389155</v>
      </c>
      <c r="D124">
        <v>7.4465661565902579</v>
      </c>
      <c r="E124">
        <v>7.6792534004659192</v>
      </c>
      <c r="F124">
        <v>11.57083658</v>
      </c>
      <c r="G124">
        <v>11.131999175000001</v>
      </c>
      <c r="H124">
        <v>12.876419101</v>
      </c>
      <c r="I124">
        <v>4.8658888155627203E-2</v>
      </c>
      <c r="J124">
        <v>0.2428716492709985</v>
      </c>
      <c r="K124">
        <v>0.22614035305612129</v>
      </c>
      <c r="L124">
        <v>15.11047132770709</v>
      </c>
      <c r="M124">
        <v>13.59676865670999</v>
      </c>
      <c r="N124">
        <v>13.48005212920331</v>
      </c>
      <c r="O124">
        <v>0</v>
      </c>
      <c r="P124">
        <v>0</v>
      </c>
      <c r="Q124">
        <v>0</v>
      </c>
      <c r="R124">
        <v>2.8549292781087799E-2</v>
      </c>
      <c r="S124">
        <v>9.0784865113669899E-2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2</v>
      </c>
      <c r="B125" t="s">
        <v>260</v>
      </c>
      <c r="C125">
        <v>0.2187871218610572</v>
      </c>
      <c r="D125">
        <v>0.19942933908321711</v>
      </c>
      <c r="E125">
        <v>0.25927143608627018</v>
      </c>
      <c r="F125">
        <v>4.1014495999999998E-2</v>
      </c>
      <c r="G125">
        <v>2.0212457999999999E-2</v>
      </c>
      <c r="H125">
        <v>8.5625335999999996E-2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4.6491115720757497E-3</v>
      </c>
      <c r="O125">
        <v>0.18007848034131221</v>
      </c>
      <c r="P125">
        <v>0.1924429947212665</v>
      </c>
      <c r="Q125">
        <v>0.62808366202956289</v>
      </c>
      <c r="R125">
        <v>2.3861010743693991</v>
      </c>
      <c r="S125">
        <v>2.9751228037369741</v>
      </c>
      <c r="T125">
        <v>2.7939995817113421</v>
      </c>
      <c r="U125">
        <v>4.965898236539438</v>
      </c>
      <c r="V125">
        <v>5.2938126613380883</v>
      </c>
      <c r="W125">
        <v>4.850184196676941</v>
      </c>
      <c r="X125">
        <v>20.73397838</v>
      </c>
      <c r="Y125">
        <v>19.055411729999999</v>
      </c>
      <c r="Z125">
        <v>23.533348159999999</v>
      </c>
    </row>
    <row r="126" spans="1:26" x14ac:dyDescent="0.2">
      <c r="A126" t="s">
        <v>2</v>
      </c>
      <c r="B126" t="s">
        <v>32</v>
      </c>
      <c r="C126">
        <v>0.45462768612424342</v>
      </c>
      <c r="D126">
        <v>0.27153525284624902</v>
      </c>
      <c r="E126">
        <v>0.28364770421582619</v>
      </c>
      <c r="F126">
        <v>0.11641443</v>
      </c>
      <c r="G126">
        <v>9.5505957000000002E-2</v>
      </c>
      <c r="H126">
        <v>7.0195457000000003E-2</v>
      </c>
      <c r="I126">
        <v>0</v>
      </c>
      <c r="J126">
        <v>0</v>
      </c>
      <c r="K126">
        <v>0</v>
      </c>
      <c r="L126">
        <v>4.1298320930187099E-3</v>
      </c>
      <c r="M126">
        <v>0</v>
      </c>
      <c r="N126">
        <v>0</v>
      </c>
      <c r="O126">
        <v>7.790754894951136</v>
      </c>
      <c r="P126">
        <v>9.3575808584826259</v>
      </c>
      <c r="Q126">
        <v>9.8421431114019438</v>
      </c>
      <c r="R126">
        <v>4.8077927776596976</v>
      </c>
      <c r="S126">
        <v>5.0866926058845046</v>
      </c>
      <c r="T126">
        <v>5.2557295426485764</v>
      </c>
      <c r="U126">
        <v>3.016310753366886</v>
      </c>
      <c r="V126">
        <v>2.3988899208026511</v>
      </c>
      <c r="W126">
        <v>2.966912262235923</v>
      </c>
      <c r="X126">
        <v>3.2696884399999999</v>
      </c>
      <c r="Y126">
        <v>10.082326330000001</v>
      </c>
      <c r="Z126">
        <v>2.73744129</v>
      </c>
    </row>
    <row r="127" spans="1:26" x14ac:dyDescent="0.2">
      <c r="A127" t="s">
        <v>2</v>
      </c>
      <c r="B127" t="s">
        <v>214</v>
      </c>
      <c r="C127">
        <v>1.20218486332616</v>
      </c>
      <c r="D127">
        <v>1.3742372843088</v>
      </c>
      <c r="E127">
        <v>1.2404392425039501</v>
      </c>
      <c r="F127">
        <v>0.92896626700000007</v>
      </c>
      <c r="G127">
        <v>0.95123630000000003</v>
      </c>
      <c r="H127">
        <v>1.5467325000000001</v>
      </c>
      <c r="I127">
        <v>14.33328702207003</v>
      </c>
      <c r="J127">
        <v>19.185609926139939</v>
      </c>
      <c r="K127">
        <v>17.711367926871649</v>
      </c>
      <c r="L127">
        <v>0.27207690765605019</v>
      </c>
      <c r="M127">
        <v>0.29429675394453902</v>
      </c>
      <c r="N127">
        <v>0.1410895109124066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 t="s">
        <v>2</v>
      </c>
      <c r="B128" t="s">
        <v>264</v>
      </c>
      <c r="C128">
        <v>2.4402115986948369</v>
      </c>
      <c r="D128">
        <v>2.3808470165892399</v>
      </c>
      <c r="E128">
        <v>2.3611294807244319</v>
      </c>
      <c r="F128">
        <v>6.0526013599999997</v>
      </c>
      <c r="G128">
        <v>4.9483333699999994</v>
      </c>
      <c r="H128">
        <v>8.2717496300000004</v>
      </c>
      <c r="I128">
        <v>0.1378552719584413</v>
      </c>
      <c r="J128">
        <v>0.1922204484141819</v>
      </c>
      <c r="K128">
        <v>0.18648984880851799</v>
      </c>
      <c r="L128">
        <v>5.821699068052685</v>
      </c>
      <c r="M128">
        <v>6.7066780349014001</v>
      </c>
      <c r="N128">
        <v>5.5476193934368432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">
      <c r="A129" t="s">
        <v>2</v>
      </c>
      <c r="B129" t="s">
        <v>195</v>
      </c>
      <c r="C129">
        <v>0.52683236230718444</v>
      </c>
      <c r="D129">
        <v>0.41114679701743628</v>
      </c>
      <c r="E129">
        <v>0.48025475313744631</v>
      </c>
      <c r="F129">
        <v>0.28194155999999998</v>
      </c>
      <c r="G129">
        <v>0.22873325799999999</v>
      </c>
      <c r="H129">
        <v>0.69869421999999992</v>
      </c>
      <c r="I129">
        <v>14.31782173191657</v>
      </c>
      <c r="J129">
        <v>11.895657987356561</v>
      </c>
      <c r="K129">
        <v>14.288573078642759</v>
      </c>
      <c r="L129">
        <v>0.19819282410350181</v>
      </c>
      <c r="M129">
        <v>0.102271094542473</v>
      </c>
      <c r="N129">
        <v>6.9635003149142588E-2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">
      <c r="A130" t="s">
        <v>2</v>
      </c>
      <c r="B130" t="s">
        <v>46</v>
      </c>
      <c r="C130">
        <v>1.568027411054658E-2</v>
      </c>
      <c r="D130">
        <v>4.7746990060001299E-2</v>
      </c>
      <c r="E130">
        <v>2.941496956489071E-2</v>
      </c>
      <c r="F130">
        <v>8.3779650000000011E-2</v>
      </c>
      <c r="G130">
        <v>9.9016818000000006E-2</v>
      </c>
      <c r="H130">
        <v>2.1830506999999999E-2</v>
      </c>
      <c r="I130">
        <v>3.5449490887813642E-2</v>
      </c>
      <c r="J130">
        <v>1.20944519101555E-2</v>
      </c>
      <c r="K130">
        <v>1.303571132859721E-2</v>
      </c>
      <c r="L130">
        <v>0</v>
      </c>
      <c r="M130">
        <v>0</v>
      </c>
      <c r="N130">
        <v>0</v>
      </c>
      <c r="O130">
        <v>1.517439889362185</v>
      </c>
      <c r="P130">
        <v>1.335096789707825</v>
      </c>
      <c r="Q130">
        <v>1.7323699567451349</v>
      </c>
      <c r="R130">
        <v>1.23343366266035E-2</v>
      </c>
      <c r="S130">
        <v>2.5869694986442999E-2</v>
      </c>
      <c r="T130">
        <v>9.5862315565060793E-2</v>
      </c>
      <c r="U130">
        <v>0.2030130206733213</v>
      </c>
      <c r="V130">
        <v>4.3489071058231597E-2</v>
      </c>
      <c r="W130">
        <v>0.4630854822945647</v>
      </c>
      <c r="X130">
        <v>10.50830307</v>
      </c>
      <c r="Y130">
        <v>13.454586600000001</v>
      </c>
      <c r="Z130">
        <v>12.045262259999999</v>
      </c>
    </row>
    <row r="131" spans="1:26" x14ac:dyDescent="0.2">
      <c r="A131" t="s">
        <v>2</v>
      </c>
      <c r="B131" t="s">
        <v>182</v>
      </c>
      <c r="C131">
        <v>1.7154991466739911</v>
      </c>
      <c r="D131">
        <v>1.6939287548754529</v>
      </c>
      <c r="E131">
        <v>1.619130908544375</v>
      </c>
      <c r="F131">
        <v>0.963854235</v>
      </c>
      <c r="G131">
        <v>1.086255532</v>
      </c>
      <c r="H131">
        <v>2.0241931270000002</v>
      </c>
      <c r="I131">
        <v>2.9887686280377301E-2</v>
      </c>
      <c r="J131">
        <v>0.13633286518273019</v>
      </c>
      <c r="K131">
        <v>9.2866635202941084E-2</v>
      </c>
      <c r="L131">
        <v>7.6848669799235294</v>
      </c>
      <c r="M131">
        <v>10.1951255395538</v>
      </c>
      <c r="N131">
        <v>8.364409274984185</v>
      </c>
      <c r="O131">
        <v>5.3640541239103204E-3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0.15637614999999999</v>
      </c>
    </row>
    <row r="132" spans="1:26" x14ac:dyDescent="0.2">
      <c r="A132" t="s">
        <v>2</v>
      </c>
      <c r="B132" t="s">
        <v>183</v>
      </c>
      <c r="C132">
        <v>3.0444121858877602</v>
      </c>
      <c r="D132">
        <v>3.3805901909540998</v>
      </c>
      <c r="E132">
        <v>3.4641166303449298</v>
      </c>
      <c r="F132">
        <v>1.7799349</v>
      </c>
      <c r="G132">
        <v>1.8195688000000001</v>
      </c>
      <c r="H132">
        <v>2.3143434599999999</v>
      </c>
      <c r="I132">
        <v>3.88325999232302</v>
      </c>
      <c r="J132">
        <v>4.0835034168258026</v>
      </c>
      <c r="K132">
        <v>4.2714191382251112</v>
      </c>
      <c r="L132">
        <v>0.23068507417440001</v>
      </c>
      <c r="M132">
        <v>9.1021876395397799E-2</v>
      </c>
      <c r="N132">
        <v>0.1117384455515225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">
      <c r="A133" t="s">
        <v>2</v>
      </c>
      <c r="B133" t="s">
        <v>299</v>
      </c>
      <c r="C133">
        <v>13.994088837449571</v>
      </c>
      <c r="D133">
        <v>13.95095477046562</v>
      </c>
      <c r="E133">
        <v>13.49745434733599</v>
      </c>
      <c r="F133">
        <v>13.224156669499999</v>
      </c>
      <c r="G133">
        <v>14.1092450955</v>
      </c>
      <c r="H133">
        <v>17.095737320000001</v>
      </c>
      <c r="I133">
        <v>4.5991448447103194</v>
      </c>
      <c r="J133">
        <v>8.7434080016705202</v>
      </c>
      <c r="K133">
        <v>5.5518313130309487</v>
      </c>
      <c r="L133">
        <v>6.8886913376817693</v>
      </c>
      <c r="M133">
        <v>7.0705805628996954</v>
      </c>
      <c r="N133">
        <v>7.4602105502218947</v>
      </c>
      <c r="O133">
        <v>27.90188950317043</v>
      </c>
      <c r="P133">
        <v>24.413878298238739</v>
      </c>
      <c r="Q133">
        <v>20.709142489366059</v>
      </c>
      <c r="R133">
        <v>13.262387472318011</v>
      </c>
      <c r="S133">
        <v>13.19131491696813</v>
      </c>
      <c r="T133">
        <v>13.54274302908455</v>
      </c>
      <c r="U133">
        <v>11.32848293236064</v>
      </c>
      <c r="V133">
        <v>11.02870264064294</v>
      </c>
      <c r="W133">
        <v>10.800909706037141</v>
      </c>
      <c r="X133">
        <v>42.610004075000013</v>
      </c>
      <c r="Y133">
        <v>42.492788179999998</v>
      </c>
      <c r="Z133">
        <v>42.041577869999998</v>
      </c>
    </row>
    <row r="134" spans="1:26" x14ac:dyDescent="0.2">
      <c r="A134" t="s">
        <v>3</v>
      </c>
      <c r="B134" t="s">
        <v>183</v>
      </c>
      <c r="C134">
        <v>7.813386429173943</v>
      </c>
      <c r="D134">
        <v>8.2525978900786381</v>
      </c>
      <c r="E134">
        <v>7.9162489667092419</v>
      </c>
      <c r="F134">
        <v>1.830287937</v>
      </c>
      <c r="G134">
        <v>1.8650896800000001</v>
      </c>
      <c r="H134">
        <v>3.2612597800000001</v>
      </c>
      <c r="I134">
        <v>2.6195093321648608</v>
      </c>
      <c r="J134">
        <v>2.2993722066733371</v>
      </c>
      <c r="K134">
        <v>2.8487629787868252</v>
      </c>
      <c r="L134">
        <v>0.2268333349631817</v>
      </c>
      <c r="M134">
        <v>0.1207886411718804</v>
      </c>
      <c r="N134">
        <v>0.15793511313806449</v>
      </c>
      <c r="O134">
        <v>0</v>
      </c>
      <c r="P134">
        <v>9.8127814387166602E-4</v>
      </c>
      <c r="Q134">
        <v>0</v>
      </c>
      <c r="R134">
        <v>0</v>
      </c>
      <c r="S134">
        <v>0</v>
      </c>
      <c r="T134">
        <v>0</v>
      </c>
      <c r="U134">
        <v>1.8321668165543E-3</v>
      </c>
      <c r="V134">
        <v>2.3985900970405201E-3</v>
      </c>
      <c r="W134">
        <v>0</v>
      </c>
      <c r="X134">
        <v>0</v>
      </c>
      <c r="Y134">
        <v>0</v>
      </c>
      <c r="Z134">
        <v>0</v>
      </c>
    </row>
    <row r="135" spans="1:26" x14ac:dyDescent="0.2">
      <c r="A135" t="s">
        <v>3</v>
      </c>
      <c r="B135" t="s">
        <v>195</v>
      </c>
      <c r="C135">
        <v>0.14317786016787559</v>
      </c>
      <c r="D135">
        <v>0.2458103554353899</v>
      </c>
      <c r="E135">
        <v>0.21593146464266891</v>
      </c>
      <c r="F135">
        <v>0.10294808900000001</v>
      </c>
      <c r="G135">
        <v>0.190013077</v>
      </c>
      <c r="H135">
        <v>7.0432636999999992E-2</v>
      </c>
      <c r="I135">
        <v>8.9854368888805727</v>
      </c>
      <c r="J135">
        <v>6.6566275306234548</v>
      </c>
      <c r="K135">
        <v>8.5052774189809011</v>
      </c>
      <c r="L135">
        <v>5.2941550376983899E-2</v>
      </c>
      <c r="M135">
        <v>5.8440871270228151E-2</v>
      </c>
      <c r="N135">
        <v>2.4385058935840701E-2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">
      <c r="A136" t="s">
        <v>3</v>
      </c>
      <c r="B136" t="s">
        <v>185</v>
      </c>
      <c r="C136">
        <v>2.4808508412290511</v>
      </c>
      <c r="D136">
        <v>2.3937052319050811</v>
      </c>
      <c r="E136">
        <v>2.1213327571954612</v>
      </c>
      <c r="F136">
        <v>1.3363629909999999</v>
      </c>
      <c r="G136">
        <v>2.0373955079999999</v>
      </c>
      <c r="H136">
        <v>2.1556826400000002</v>
      </c>
      <c r="I136">
        <v>0.509000861211377</v>
      </c>
      <c r="J136">
        <v>0.60005624543216329</v>
      </c>
      <c r="K136">
        <v>0.43905662642621729</v>
      </c>
      <c r="L136">
        <v>0.50145769565515019</v>
      </c>
      <c r="M136">
        <v>0.77449942054696608</v>
      </c>
      <c r="N136">
        <v>0.46044426017595658</v>
      </c>
      <c r="O136">
        <v>3.3100711962377773E-2</v>
      </c>
      <c r="P136">
        <v>0</v>
      </c>
      <c r="Q136">
        <v>1.46879573132364E-2</v>
      </c>
      <c r="R136">
        <v>0</v>
      </c>
      <c r="S136">
        <v>8.4793912674496399E-3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">
      <c r="A137" t="s">
        <v>3</v>
      </c>
      <c r="B137" t="s">
        <v>184</v>
      </c>
      <c r="C137">
        <v>0.70163450619342493</v>
      </c>
      <c r="D137">
        <v>0.83680565355068492</v>
      </c>
      <c r="E137">
        <v>0.82263094611858412</v>
      </c>
      <c r="F137">
        <v>0.29216920000000002</v>
      </c>
      <c r="G137">
        <v>0.28018647000000002</v>
      </c>
      <c r="H137">
        <v>0.41151726</v>
      </c>
      <c r="I137">
        <v>0.61508571591424199</v>
      </c>
      <c r="J137">
        <v>3.2041978626735799</v>
      </c>
      <c r="K137">
        <v>1.72391822743306</v>
      </c>
      <c r="L137">
        <v>0.102431693053912</v>
      </c>
      <c r="M137">
        <v>0.15200425362405501</v>
      </c>
      <c r="N137">
        <v>4.5168079709618697E-2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">
      <c r="A138" t="s">
        <v>3</v>
      </c>
      <c r="B138" t="s">
        <v>41</v>
      </c>
      <c r="C138">
        <v>0.26281351284784182</v>
      </c>
      <c r="D138">
        <v>0.2437613948736469</v>
      </c>
      <c r="E138">
        <v>0.25847862027504293</v>
      </c>
      <c r="F138">
        <v>0.104618184</v>
      </c>
      <c r="G138">
        <v>6.874284E-2</v>
      </c>
      <c r="H138">
        <v>9.0868026000000005E-2</v>
      </c>
      <c r="I138">
        <v>0.87076931023826187</v>
      </c>
      <c r="J138">
        <v>1.7772807185943309</v>
      </c>
      <c r="K138">
        <v>1.1634147250236</v>
      </c>
      <c r="L138">
        <v>0.12514424158264789</v>
      </c>
      <c r="M138">
        <v>0.11672085506102969</v>
      </c>
      <c r="N138">
        <v>5.3922300022842901E-2</v>
      </c>
      <c r="O138">
        <v>0.1808337445327263</v>
      </c>
      <c r="P138">
        <v>0.25474058186303239</v>
      </c>
      <c r="Q138">
        <v>0.20809797245064179</v>
      </c>
      <c r="R138">
        <v>7.364264019252259E-2</v>
      </c>
      <c r="S138">
        <v>0.1809296404709333</v>
      </c>
      <c r="T138">
        <v>6.02470601728477E-2</v>
      </c>
      <c r="U138">
        <v>0.137105288147333</v>
      </c>
      <c r="V138">
        <v>8.7628979063526E-2</v>
      </c>
      <c r="W138">
        <v>9.5729644387640006E-2</v>
      </c>
      <c r="X138">
        <v>0</v>
      </c>
      <c r="Y138">
        <v>0</v>
      </c>
      <c r="Z138">
        <v>1.4993718</v>
      </c>
    </row>
    <row r="139" spans="1:26" x14ac:dyDescent="0.2">
      <c r="A139" t="s">
        <v>3</v>
      </c>
      <c r="B139" t="s">
        <v>31</v>
      </c>
      <c r="C139">
        <v>9.7739067509748395E-2</v>
      </c>
      <c r="D139">
        <v>7.1386237532667596E-2</v>
      </c>
      <c r="E139">
        <v>2.615916434959039E-2</v>
      </c>
      <c r="F139">
        <v>0</v>
      </c>
      <c r="G139">
        <v>4.2964299999999997E-2</v>
      </c>
      <c r="H139">
        <v>8.9059629999999994E-3</v>
      </c>
      <c r="I139">
        <v>0</v>
      </c>
      <c r="J139">
        <v>0</v>
      </c>
      <c r="K139">
        <v>0</v>
      </c>
      <c r="L139">
        <v>0</v>
      </c>
      <c r="M139">
        <v>2.4442851820910701E-3</v>
      </c>
      <c r="N139">
        <v>0</v>
      </c>
      <c r="O139">
        <v>0.24353409933906001</v>
      </c>
      <c r="P139">
        <v>0.1936957727468421</v>
      </c>
      <c r="Q139">
        <v>0.2308580140155834</v>
      </c>
      <c r="R139">
        <v>0.63450871768150063</v>
      </c>
      <c r="S139">
        <v>0.78309587681508619</v>
      </c>
      <c r="T139">
        <v>0.58668357812215366</v>
      </c>
      <c r="U139">
        <v>0.34821224088524988</v>
      </c>
      <c r="V139">
        <v>0.54232999627048573</v>
      </c>
      <c r="W139">
        <v>0.64920682655439443</v>
      </c>
      <c r="X139">
        <v>1.2082875</v>
      </c>
      <c r="Y139">
        <v>0</v>
      </c>
      <c r="Z139">
        <v>6.3406229999999994E-2</v>
      </c>
    </row>
    <row r="140" spans="1:26" x14ac:dyDescent="0.2">
      <c r="A140" t="s">
        <v>3</v>
      </c>
      <c r="B140" t="s">
        <v>265</v>
      </c>
      <c r="C140">
        <v>1.45750480063994</v>
      </c>
      <c r="D140">
        <v>1.7329098062236501</v>
      </c>
      <c r="E140">
        <v>1.6320752235665399</v>
      </c>
      <c r="F140">
        <v>8.4397079999999999E-2</v>
      </c>
      <c r="G140">
        <v>5.8228790000000002E-2</v>
      </c>
      <c r="H140">
        <v>0.14954141000000001</v>
      </c>
      <c r="I140">
        <v>2.2743283308262901E-2</v>
      </c>
      <c r="J140">
        <v>3.1030133406081899E-2</v>
      </c>
      <c r="K140">
        <v>3.07982264394654E-2</v>
      </c>
      <c r="L140">
        <v>0</v>
      </c>
      <c r="M140">
        <v>0</v>
      </c>
      <c r="N140">
        <v>0</v>
      </c>
      <c r="O140">
        <v>1.78007378091968E-2</v>
      </c>
      <c r="P140">
        <v>2.4950839128562999E-2</v>
      </c>
      <c r="Q140">
        <v>2.0142457005814102E-2</v>
      </c>
      <c r="R140">
        <v>0</v>
      </c>
      <c r="S140">
        <v>0</v>
      </c>
      <c r="T140">
        <v>0</v>
      </c>
      <c r="U140">
        <v>1.0272423096473599E-2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">
      <c r="A141" t="s">
        <v>3</v>
      </c>
      <c r="B141" t="s">
        <v>194</v>
      </c>
      <c r="C141">
        <v>0.132262262065899</v>
      </c>
      <c r="D141">
        <v>0.1268097740498863</v>
      </c>
      <c r="E141">
        <v>0.13120538062673781</v>
      </c>
      <c r="F141">
        <v>0</v>
      </c>
      <c r="G141">
        <v>1.9457383000000002E-2</v>
      </c>
      <c r="H141">
        <v>4.5604585500000003E-2</v>
      </c>
      <c r="I141">
        <v>1.8309870444240799E-2</v>
      </c>
      <c r="J141">
        <v>4.0592698871386602E-3</v>
      </c>
      <c r="K141">
        <v>4.4339013363803503E-3</v>
      </c>
      <c r="L141">
        <v>8.4100177001535299E-4</v>
      </c>
      <c r="M141">
        <v>6.6497290293494899E-3</v>
      </c>
      <c r="N141">
        <v>0</v>
      </c>
      <c r="O141">
        <v>1.0552752686222979</v>
      </c>
      <c r="P141">
        <v>0.87353923367219122</v>
      </c>
      <c r="Q141">
        <v>0.57429733315595155</v>
      </c>
      <c r="R141">
        <v>0.44023777364881078</v>
      </c>
      <c r="S141">
        <v>0.28911200132333209</v>
      </c>
      <c r="T141">
        <v>0.36986837400403477</v>
      </c>
      <c r="U141">
        <v>0.15734291124604091</v>
      </c>
      <c r="V141">
        <v>0.19339363934857801</v>
      </c>
      <c r="W141">
        <v>0.34208706112322401</v>
      </c>
      <c r="X141">
        <v>0</v>
      </c>
      <c r="Y141">
        <v>0</v>
      </c>
      <c r="Z141">
        <v>0.39931062000000001</v>
      </c>
    </row>
    <row r="142" spans="1:26" x14ac:dyDescent="0.2">
      <c r="A142" t="s">
        <v>3</v>
      </c>
      <c r="B142" t="s">
        <v>260</v>
      </c>
      <c r="C142">
        <v>3.0802562375624731E-2</v>
      </c>
      <c r="D142">
        <v>1.547727234241913E-2</v>
      </c>
      <c r="E142">
        <v>2.65273915984069E-3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1.8965523028844401E-2</v>
      </c>
      <c r="P142">
        <v>3.6485705531228263E-2</v>
      </c>
      <c r="Q142">
        <v>7.5147688579349104E-3</v>
      </c>
      <c r="R142">
        <v>0.2115554702337285</v>
      </c>
      <c r="S142">
        <v>0.75257294506016192</v>
      </c>
      <c r="T142">
        <v>0.35881745747960853</v>
      </c>
      <c r="U142">
        <v>0.57661306089161679</v>
      </c>
      <c r="V142">
        <v>0.76690530688058955</v>
      </c>
      <c r="W142">
        <v>0.56215322156228842</v>
      </c>
      <c r="X142">
        <v>0.72945850000000001</v>
      </c>
      <c r="Y142">
        <v>0.20423461000000001</v>
      </c>
      <c r="Z142">
        <v>0.37855430000000001</v>
      </c>
    </row>
    <row r="143" spans="1:26" x14ac:dyDescent="0.2">
      <c r="A143" t="s">
        <v>3</v>
      </c>
      <c r="B143" t="s">
        <v>42</v>
      </c>
      <c r="C143">
        <v>6.3143945090705401E-3</v>
      </c>
      <c r="D143">
        <v>7.6680796780366099E-3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6.7379636063361587E-2</v>
      </c>
      <c r="P143">
        <v>0.10809961718516679</v>
      </c>
      <c r="Q143">
        <v>0.263142755439218</v>
      </c>
      <c r="R143">
        <v>0.205933371271074</v>
      </c>
      <c r="S143">
        <v>0.29393784656545102</v>
      </c>
      <c r="T143">
        <v>0.24027984860649201</v>
      </c>
      <c r="U143">
        <v>0.1422945655027566</v>
      </c>
      <c r="V143">
        <v>0.13815293936978509</v>
      </c>
      <c r="W143">
        <v>0.17256597248327199</v>
      </c>
      <c r="X143">
        <v>1.1194725999999999</v>
      </c>
      <c r="Y143">
        <v>0.23449155999999999</v>
      </c>
      <c r="Z143">
        <v>1.3071457</v>
      </c>
    </row>
    <row r="144" spans="1:26" x14ac:dyDescent="0.2">
      <c r="A144" t="s">
        <v>3</v>
      </c>
      <c r="B144" t="s">
        <v>299</v>
      </c>
      <c r="C144">
        <v>5.8401479534343368</v>
      </c>
      <c r="D144">
        <v>6.1515694586341381</v>
      </c>
      <c r="E144">
        <v>5.9543341850154077</v>
      </c>
      <c r="F144">
        <v>0.88670047100000005</v>
      </c>
      <c r="G144">
        <v>0.90963534499999998</v>
      </c>
      <c r="H144">
        <v>1.266877477</v>
      </c>
      <c r="I144">
        <v>1.7318497698241151</v>
      </c>
      <c r="J144">
        <v>2.0687474108577262</v>
      </c>
      <c r="K144">
        <v>1.601851391855865</v>
      </c>
      <c r="L144">
        <v>0.47601678091903921</v>
      </c>
      <c r="M144">
        <v>0.52033333820871119</v>
      </c>
      <c r="N144">
        <v>0.39855205460098342</v>
      </c>
      <c r="O144">
        <v>10.087234692473199</v>
      </c>
      <c r="P144">
        <v>7.0102122741217938</v>
      </c>
      <c r="Q144">
        <v>6.1646777099011549</v>
      </c>
      <c r="R144">
        <v>4.535107265534478</v>
      </c>
      <c r="S144">
        <v>5.3616147522708797</v>
      </c>
      <c r="T144">
        <v>4.6784642059599388</v>
      </c>
      <c r="U144">
        <v>5.2533920222541246</v>
      </c>
      <c r="V144">
        <v>4.4985411014501242</v>
      </c>
      <c r="W144">
        <v>4.4441169836854382</v>
      </c>
      <c r="X144">
        <v>1.9822041100000001</v>
      </c>
      <c r="Y144">
        <v>2.9147595000000002</v>
      </c>
      <c r="Z144">
        <v>2.96484711</v>
      </c>
    </row>
    <row r="145" spans="1:26" x14ac:dyDescent="0.2">
      <c r="A145" t="s">
        <v>4</v>
      </c>
      <c r="B145" t="s">
        <v>212</v>
      </c>
      <c r="C145">
        <v>8.7678168585832896</v>
      </c>
      <c r="D145">
        <v>9.4029481325107351</v>
      </c>
      <c r="E145">
        <v>8.6270440369730181</v>
      </c>
      <c r="F145">
        <v>60.868188484999997</v>
      </c>
      <c r="G145">
        <v>73.465744115999996</v>
      </c>
      <c r="H145">
        <v>52.256322535000002</v>
      </c>
      <c r="I145">
        <v>0.21978078741616111</v>
      </c>
      <c r="J145">
        <v>0.46306493821422468</v>
      </c>
      <c r="K145">
        <v>0.43572188550515828</v>
      </c>
      <c r="L145">
        <v>28.829647023733859</v>
      </c>
      <c r="M145">
        <v>22.35819317338078</v>
      </c>
      <c r="N145">
        <v>26.095251990825901</v>
      </c>
      <c r="O145">
        <v>3.3298759017015298E-3</v>
      </c>
      <c r="P145">
        <v>8.18378214849492E-3</v>
      </c>
      <c r="Q145">
        <v>0</v>
      </c>
      <c r="R145">
        <v>2.47440916539255E-2</v>
      </c>
      <c r="S145">
        <v>0.14279035981674781</v>
      </c>
      <c r="T145">
        <v>4.2436059181098711E-2</v>
      </c>
      <c r="U145">
        <v>0</v>
      </c>
      <c r="V145">
        <v>0</v>
      </c>
      <c r="W145">
        <v>0</v>
      </c>
      <c r="X145">
        <v>0</v>
      </c>
      <c r="Y145">
        <v>0.10471560000000001</v>
      </c>
      <c r="Z145">
        <v>0.82694376000000003</v>
      </c>
    </row>
    <row r="146" spans="1:26" x14ac:dyDescent="0.2">
      <c r="A146" t="s">
        <v>4</v>
      </c>
      <c r="B146" t="s">
        <v>40</v>
      </c>
      <c r="C146">
        <v>12.52795051363033</v>
      </c>
      <c r="D146">
        <v>13.13361706451121</v>
      </c>
      <c r="E146">
        <v>12.97143420755993</v>
      </c>
      <c r="F146">
        <v>7.3888219030000002</v>
      </c>
      <c r="G146">
        <v>9.5090125464999993</v>
      </c>
      <c r="H146">
        <v>10.125591695700001</v>
      </c>
      <c r="I146">
        <v>29.6721278333364</v>
      </c>
      <c r="J146">
        <v>31.402453749078049</v>
      </c>
      <c r="K146">
        <v>31.401573393279971</v>
      </c>
      <c r="L146">
        <v>2.1041699263634448</v>
      </c>
      <c r="M146">
        <v>2.1921297630652208</v>
      </c>
      <c r="N146">
        <v>1.9122795435129649</v>
      </c>
      <c r="O146">
        <v>0.89361852109201134</v>
      </c>
      <c r="P146">
        <v>1.090207774980898</v>
      </c>
      <c r="Q146">
        <v>1.0709372606689951</v>
      </c>
      <c r="R146">
        <v>0.24153771262846821</v>
      </c>
      <c r="S146">
        <v>0.18779801931776499</v>
      </c>
      <c r="T146">
        <v>0.22205055895508799</v>
      </c>
      <c r="U146">
        <v>0.28861654647726831</v>
      </c>
      <c r="V146">
        <v>0.20118905716395971</v>
      </c>
      <c r="W146">
        <v>6.7423501992331464E-2</v>
      </c>
      <c r="X146">
        <v>0.3638286</v>
      </c>
      <c r="Y146">
        <v>0.33825261000000001</v>
      </c>
      <c r="Z146">
        <v>2.2039327900000001</v>
      </c>
    </row>
    <row r="147" spans="1:26" x14ac:dyDescent="0.2">
      <c r="A147" t="s">
        <v>4</v>
      </c>
      <c r="B147" t="s">
        <v>195</v>
      </c>
      <c r="C147">
        <v>2.7051546122107371</v>
      </c>
      <c r="D147">
        <v>2.2728476036192662</v>
      </c>
      <c r="E147">
        <v>2.5966389869993241</v>
      </c>
      <c r="F147">
        <v>2.92685525</v>
      </c>
      <c r="G147">
        <v>3.2355550700000002</v>
      </c>
      <c r="H147">
        <v>3.5497640389999998</v>
      </c>
      <c r="I147">
        <v>48.543840290264747</v>
      </c>
      <c r="J147">
        <v>37.820492871649257</v>
      </c>
      <c r="K147">
        <v>47.092822130591017</v>
      </c>
      <c r="L147">
        <v>0.5537348790815475</v>
      </c>
      <c r="M147">
        <v>0.48739012116461911</v>
      </c>
      <c r="N147">
        <v>0.33195396045944459</v>
      </c>
      <c r="O147">
        <v>2.2990241986646901E-2</v>
      </c>
      <c r="P147">
        <v>5.9082252828446993E-2</v>
      </c>
      <c r="Q147">
        <v>5.2833499329423703E-2</v>
      </c>
      <c r="R147">
        <v>1.3019958451317421E-2</v>
      </c>
      <c r="S147">
        <v>1.5700179081291399E-2</v>
      </c>
      <c r="T147">
        <v>3.6296661111973202E-3</v>
      </c>
      <c r="U147">
        <v>0</v>
      </c>
      <c r="V147">
        <v>0</v>
      </c>
      <c r="W147">
        <v>3.5125178558003199E-2</v>
      </c>
      <c r="X147">
        <v>0.12891569999999999</v>
      </c>
      <c r="Y147">
        <v>0.268318</v>
      </c>
      <c r="Z147">
        <v>0.30105492</v>
      </c>
    </row>
    <row r="148" spans="1:26" x14ac:dyDescent="0.2">
      <c r="A148" t="s">
        <v>4</v>
      </c>
      <c r="B148" t="s">
        <v>182</v>
      </c>
      <c r="C148">
        <v>3.4147513148631301</v>
      </c>
      <c r="D148">
        <v>3.2551181680147652</v>
      </c>
      <c r="E148">
        <v>3.1748835199519059</v>
      </c>
      <c r="F148">
        <v>12.742091737000001</v>
      </c>
      <c r="G148">
        <v>13.651173397999999</v>
      </c>
      <c r="H148">
        <v>13.6146443247</v>
      </c>
      <c r="I148">
        <v>0.10236570401580999</v>
      </c>
      <c r="J148">
        <v>0.54666771074355103</v>
      </c>
      <c r="K148">
        <v>0.2976975590772849</v>
      </c>
      <c r="L148">
        <v>26.334839109516029</v>
      </c>
      <c r="M148">
        <v>32.588263989682567</v>
      </c>
      <c r="N148">
        <v>30.38031739660315</v>
      </c>
      <c r="O148">
        <v>0</v>
      </c>
      <c r="P148">
        <v>0</v>
      </c>
      <c r="Q148">
        <v>7.3385852818397893E-3</v>
      </c>
      <c r="R148">
        <v>1.36850116212899E-2</v>
      </c>
      <c r="S148">
        <v>4.8236876361988701E-2</v>
      </c>
      <c r="T148">
        <v>0</v>
      </c>
      <c r="U148">
        <v>0</v>
      </c>
      <c r="V148">
        <v>0</v>
      </c>
      <c r="W148">
        <v>0</v>
      </c>
      <c r="X148">
        <v>1.0582226699999999</v>
      </c>
      <c r="Y148">
        <v>0.51862980000000003</v>
      </c>
      <c r="Z148">
        <v>0.28910370000000002</v>
      </c>
    </row>
    <row r="149" spans="1:26" x14ac:dyDescent="0.2">
      <c r="A149" t="s">
        <v>4</v>
      </c>
      <c r="B149" t="s">
        <v>183</v>
      </c>
      <c r="C149">
        <v>24.224831241976229</v>
      </c>
      <c r="D149">
        <v>26.274809074129461</v>
      </c>
      <c r="E149">
        <v>23.943095739084679</v>
      </c>
      <c r="F149">
        <v>11.584616774000001</v>
      </c>
      <c r="G149">
        <v>13.868405923999999</v>
      </c>
      <c r="H149">
        <v>14.406311857</v>
      </c>
      <c r="I149">
        <v>3.6465613441666069</v>
      </c>
      <c r="J149">
        <v>4.0804461239487662</v>
      </c>
      <c r="K149">
        <v>4.2252036862238533</v>
      </c>
      <c r="L149">
        <v>0.47830875521958949</v>
      </c>
      <c r="M149">
        <v>0.18811617968808481</v>
      </c>
      <c r="N149">
        <v>0.20071327749822079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">
      <c r="A150" t="s">
        <v>4</v>
      </c>
      <c r="B150" t="s">
        <v>214</v>
      </c>
      <c r="C150">
        <v>2.9535411394681299</v>
      </c>
      <c r="D150">
        <v>3.1169092869278598</v>
      </c>
      <c r="E150">
        <v>2.6266062974374398</v>
      </c>
      <c r="F150">
        <v>0.81623587000000009</v>
      </c>
      <c r="G150">
        <v>0.92544353999999995</v>
      </c>
      <c r="H150">
        <v>1.03740498</v>
      </c>
      <c r="I150">
        <v>28.743612830713701</v>
      </c>
      <c r="J150">
        <v>38.487598219006898</v>
      </c>
      <c r="K150">
        <v>35.514027232682501</v>
      </c>
      <c r="L150">
        <v>0.66808728327090994</v>
      </c>
      <c r="M150">
        <v>0.642523507209394</v>
      </c>
      <c r="N150">
        <v>0.39075644121798597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">
      <c r="A151" t="s">
        <v>4</v>
      </c>
      <c r="B151" t="s">
        <v>211</v>
      </c>
      <c r="C151">
        <v>2.2404657438103879</v>
      </c>
      <c r="D151">
        <v>2.280504394258394</v>
      </c>
      <c r="E151">
        <v>2.4625385135642901</v>
      </c>
      <c r="F151">
        <v>4.487227861</v>
      </c>
      <c r="G151">
        <v>4.1754086839999998</v>
      </c>
      <c r="H151">
        <v>3.7252724160000001</v>
      </c>
      <c r="I151">
        <v>3.7251177152160107E-2</v>
      </c>
      <c r="J151">
        <v>0.1662726118425262</v>
      </c>
      <c r="K151">
        <v>0.13620895225793631</v>
      </c>
      <c r="L151">
        <v>8.5821810305205357</v>
      </c>
      <c r="M151">
        <v>7.4709185126425766</v>
      </c>
      <c r="N151">
        <v>10.862878276725789</v>
      </c>
      <c r="O151">
        <v>2.8824238274103822E-2</v>
      </c>
      <c r="P151">
        <v>4.0143196794750003E-3</v>
      </c>
      <c r="Q151">
        <v>6.6590200597585903E-3</v>
      </c>
      <c r="R151">
        <v>9.05157932987323E-2</v>
      </c>
      <c r="S151">
        <v>0</v>
      </c>
      <c r="T151">
        <v>1.1712082470331901E-2</v>
      </c>
      <c r="U151">
        <v>0</v>
      </c>
      <c r="V151">
        <v>0</v>
      </c>
      <c r="W151">
        <v>0</v>
      </c>
      <c r="X151">
        <v>0.11099861</v>
      </c>
      <c r="Y151">
        <v>0</v>
      </c>
      <c r="Z151">
        <v>0</v>
      </c>
    </row>
    <row r="152" spans="1:26" x14ac:dyDescent="0.2">
      <c r="A152" t="s">
        <v>4</v>
      </c>
      <c r="B152" t="s">
        <v>207</v>
      </c>
      <c r="C152">
        <v>3.748276455830847</v>
      </c>
      <c r="D152">
        <v>3.4273691459277589</v>
      </c>
      <c r="E152">
        <v>3.7738971969640129</v>
      </c>
      <c r="F152">
        <v>6.0543440259999999</v>
      </c>
      <c r="G152">
        <v>6.9144697510000004</v>
      </c>
      <c r="H152">
        <v>6.7475063839999994</v>
      </c>
      <c r="I152">
        <v>6.5967722830651249E-2</v>
      </c>
      <c r="J152">
        <v>0.1218353524433083</v>
      </c>
      <c r="K152">
        <v>9.0341257224236998E-2</v>
      </c>
      <c r="L152">
        <v>4.6813440626252971</v>
      </c>
      <c r="M152">
        <v>4.6219651846377383</v>
      </c>
      <c r="N152">
        <v>4.2434637135587421</v>
      </c>
      <c r="O152">
        <v>5.9880701825053999E-2</v>
      </c>
      <c r="P152">
        <v>5.3171312546785303E-2</v>
      </c>
      <c r="Q152">
        <v>2.0005824844760701E-2</v>
      </c>
      <c r="R152">
        <v>0.11763213646616801</v>
      </c>
      <c r="S152">
        <v>9.7085074401444205E-2</v>
      </c>
      <c r="T152">
        <v>0.15036802655458301</v>
      </c>
      <c r="U152">
        <v>0.102679543969211</v>
      </c>
      <c r="V152">
        <v>9.2959991809692402E-2</v>
      </c>
      <c r="W152">
        <v>7.1190136079993999E-2</v>
      </c>
      <c r="X152">
        <v>0</v>
      </c>
      <c r="Y152">
        <v>0</v>
      </c>
      <c r="Z152">
        <v>0</v>
      </c>
    </row>
    <row r="153" spans="1:26" x14ac:dyDescent="0.2">
      <c r="A153" t="s">
        <v>4</v>
      </c>
      <c r="B153" t="s">
        <v>33</v>
      </c>
      <c r="C153">
        <v>0.71121834901578751</v>
      </c>
      <c r="D153">
        <v>0.68506403707320351</v>
      </c>
      <c r="E153">
        <v>0.72125009393552275</v>
      </c>
      <c r="F153">
        <v>0.314017145</v>
      </c>
      <c r="G153">
        <v>0.42250131099999999</v>
      </c>
      <c r="H153">
        <v>0.60216449900000002</v>
      </c>
      <c r="I153">
        <v>2.9253578213044269E-2</v>
      </c>
      <c r="J153">
        <v>1.7702155176768989E-2</v>
      </c>
      <c r="K153">
        <v>1.6305247818238999E-2</v>
      </c>
      <c r="L153">
        <v>2.3543160015255381E-2</v>
      </c>
      <c r="M153">
        <v>4.6520571658164873E-2</v>
      </c>
      <c r="N153">
        <v>1.8391785029094901E-2</v>
      </c>
      <c r="O153">
        <v>15.65465293092856</v>
      </c>
      <c r="P153">
        <v>13.5216559941356</v>
      </c>
      <c r="Q153">
        <v>9.5240922051352186</v>
      </c>
      <c r="R153">
        <v>0.460326493112929</v>
      </c>
      <c r="S153">
        <v>0.56233683105226429</v>
      </c>
      <c r="T153">
        <v>0.45912577670132171</v>
      </c>
      <c r="U153">
        <v>0.26453025588890811</v>
      </c>
      <c r="V153">
        <v>0.27504076871887512</v>
      </c>
      <c r="W153">
        <v>0.45442447936245461</v>
      </c>
      <c r="X153">
        <v>0.11972432</v>
      </c>
      <c r="Y153">
        <v>0.21402423000000001</v>
      </c>
      <c r="Z153">
        <v>0.105984725</v>
      </c>
    </row>
    <row r="154" spans="1:26" x14ac:dyDescent="0.2">
      <c r="A154" t="s">
        <v>4</v>
      </c>
      <c r="B154" t="s">
        <v>260</v>
      </c>
      <c r="C154">
        <v>7.8617154141410156E-2</v>
      </c>
      <c r="D154">
        <v>0.1018694648431106</v>
      </c>
      <c r="E154">
        <v>6.8959945893138988E-2</v>
      </c>
      <c r="F154">
        <v>1.3160778999999999E-2</v>
      </c>
      <c r="G154">
        <v>0</v>
      </c>
      <c r="H154">
        <v>2.7487134999999999E-2</v>
      </c>
      <c r="I154">
        <v>0</v>
      </c>
      <c r="J154">
        <v>0</v>
      </c>
      <c r="K154">
        <v>0</v>
      </c>
      <c r="L154">
        <v>5.1462462961695296E-4</v>
      </c>
      <c r="M154">
        <v>0</v>
      </c>
      <c r="N154">
        <v>0</v>
      </c>
      <c r="O154">
        <v>7.1296939669496396E-3</v>
      </c>
      <c r="P154">
        <v>0.1301919504163645</v>
      </c>
      <c r="Q154">
        <v>0.2368015130214044</v>
      </c>
      <c r="R154">
        <v>1.225514730584905</v>
      </c>
      <c r="S154">
        <v>1.110699567759615</v>
      </c>
      <c r="T154">
        <v>1.45425473779373</v>
      </c>
      <c r="U154">
        <v>1.8408360936862871</v>
      </c>
      <c r="V154">
        <v>1.8268993104053479</v>
      </c>
      <c r="W154">
        <v>1.6036613788436971</v>
      </c>
      <c r="X154">
        <v>10.38639564</v>
      </c>
      <c r="Y154">
        <v>10.0516548</v>
      </c>
      <c r="Z154">
        <v>7.2845947000000004</v>
      </c>
    </row>
    <row r="155" spans="1:26" x14ac:dyDescent="0.2">
      <c r="A155" t="s">
        <v>4</v>
      </c>
      <c r="B155" t="s">
        <v>299</v>
      </c>
      <c r="C155">
        <v>49.351110413628803</v>
      </c>
      <c r="D155">
        <v>49.311252913983161</v>
      </c>
      <c r="E155">
        <v>48.420282558052143</v>
      </c>
      <c r="F155">
        <v>36.736619265500003</v>
      </c>
      <c r="G155">
        <v>42.8595689773</v>
      </c>
      <c r="H155">
        <v>41.997638590299999</v>
      </c>
      <c r="I155">
        <v>10.383936403948219</v>
      </c>
      <c r="J155">
        <v>15.608435804427559</v>
      </c>
      <c r="K155">
        <v>10.45888912348684</v>
      </c>
      <c r="L155">
        <v>30.665312466384378</v>
      </c>
      <c r="M155">
        <v>32.959940738344471</v>
      </c>
      <c r="N155">
        <v>31.00473889844708</v>
      </c>
      <c r="O155">
        <v>27.362909479069099</v>
      </c>
      <c r="P155">
        <v>27.754765792566321</v>
      </c>
      <c r="Q155">
        <v>25.138667261136419</v>
      </c>
      <c r="R155">
        <v>19.476500311957931</v>
      </c>
      <c r="S155">
        <v>18.908057219709011</v>
      </c>
      <c r="T155">
        <v>18.992855359829441</v>
      </c>
      <c r="U155">
        <v>14.64800053624394</v>
      </c>
      <c r="V155">
        <v>12.265131959019209</v>
      </c>
      <c r="W155">
        <v>14.34889106082249</v>
      </c>
      <c r="X155">
        <v>34.878387955999997</v>
      </c>
      <c r="Y155">
        <v>29.430677871</v>
      </c>
      <c r="Z155">
        <v>29.254299875000001</v>
      </c>
    </row>
    <row r="156" spans="1:26" x14ac:dyDescent="0.2">
      <c r="A156" t="s">
        <v>5</v>
      </c>
      <c r="B156" t="s">
        <v>40</v>
      </c>
      <c r="C156">
        <v>5.1638298753468304</v>
      </c>
      <c r="D156">
        <v>4.8108831979589457</v>
      </c>
      <c r="E156">
        <v>5.3404129405575933</v>
      </c>
      <c r="F156">
        <v>1.9947955159999999</v>
      </c>
      <c r="G156">
        <v>2.2786461256999999</v>
      </c>
      <c r="H156">
        <v>3.3026938147</v>
      </c>
      <c r="I156">
        <v>4.5012606460243054</v>
      </c>
      <c r="J156">
        <v>4.4531832557011679</v>
      </c>
      <c r="K156">
        <v>5.2571362627717901</v>
      </c>
      <c r="L156">
        <v>0.42264800653243262</v>
      </c>
      <c r="M156">
        <v>0.41682934656453619</v>
      </c>
      <c r="N156">
        <v>0.24544562678500931</v>
      </c>
      <c r="O156">
        <v>3.613761249240536</v>
      </c>
      <c r="P156">
        <v>3.0166429427484318</v>
      </c>
      <c r="Q156">
        <v>2.8303064515549101</v>
      </c>
      <c r="R156">
        <v>0.43118070934433989</v>
      </c>
      <c r="S156">
        <v>0.54178923066964924</v>
      </c>
      <c r="T156">
        <v>0.39322507303185039</v>
      </c>
      <c r="U156">
        <v>0.31588678549683602</v>
      </c>
      <c r="V156">
        <v>0.24946799564158589</v>
      </c>
      <c r="W156">
        <v>0.41308172317870862</v>
      </c>
      <c r="X156">
        <v>10.383115549999999</v>
      </c>
      <c r="Y156">
        <v>9.8086984499999996</v>
      </c>
      <c r="Z156">
        <v>6.003199435</v>
      </c>
    </row>
    <row r="157" spans="1:26" x14ac:dyDescent="0.2">
      <c r="A157" t="s">
        <v>5</v>
      </c>
      <c r="B157" t="s">
        <v>195</v>
      </c>
      <c r="C157">
        <v>1.4224192609739039</v>
      </c>
      <c r="D157">
        <v>1.477531990314005</v>
      </c>
      <c r="E157">
        <v>1.4683193056286159</v>
      </c>
      <c r="F157">
        <v>0.51070088199999997</v>
      </c>
      <c r="G157">
        <v>0.50453087699999999</v>
      </c>
      <c r="H157">
        <v>0.65586297699999996</v>
      </c>
      <c r="I157">
        <v>24.389631798738371</v>
      </c>
      <c r="J157">
        <v>20.995162724434429</v>
      </c>
      <c r="K157">
        <v>23.694559673439649</v>
      </c>
      <c r="L157">
        <v>0.31549851357826719</v>
      </c>
      <c r="M157">
        <v>0.29452044776620212</v>
      </c>
      <c r="N157">
        <v>0.1878882787195863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">
      <c r="A158" t="s">
        <v>5</v>
      </c>
      <c r="B158" t="s">
        <v>212</v>
      </c>
      <c r="C158">
        <v>3.0065912077995942</v>
      </c>
      <c r="D158">
        <v>3.186286075534964</v>
      </c>
      <c r="E158">
        <v>3.0166040429848962</v>
      </c>
      <c r="F158">
        <v>1.135014843</v>
      </c>
      <c r="G158">
        <v>1.923521842</v>
      </c>
      <c r="H158">
        <v>1.330240286</v>
      </c>
      <c r="I158">
        <v>9.7018534301951218E-2</v>
      </c>
      <c r="J158">
        <v>0.18867395499691819</v>
      </c>
      <c r="K158">
        <v>0.1484767002831735</v>
      </c>
      <c r="L158">
        <v>14.17247381648559</v>
      </c>
      <c r="M158">
        <v>13.099955003127411</v>
      </c>
      <c r="N158">
        <v>11.869678312112381</v>
      </c>
      <c r="O158">
        <v>7.1263372372100198E-3</v>
      </c>
      <c r="P158">
        <v>0</v>
      </c>
      <c r="Q158">
        <v>0</v>
      </c>
      <c r="R158">
        <v>2.1837055117138501E-2</v>
      </c>
      <c r="S158">
        <v>4.3418223139604299E-2</v>
      </c>
      <c r="T158">
        <v>0</v>
      </c>
      <c r="U158">
        <v>0</v>
      </c>
      <c r="V158">
        <v>0</v>
      </c>
      <c r="W158">
        <v>2.5140966844598201E-2</v>
      </c>
      <c r="X158">
        <v>0</v>
      </c>
      <c r="Y158">
        <v>0</v>
      </c>
      <c r="Z158">
        <v>0</v>
      </c>
    </row>
    <row r="159" spans="1:26" x14ac:dyDescent="0.2">
      <c r="A159" t="s">
        <v>5</v>
      </c>
      <c r="B159" t="s">
        <v>214</v>
      </c>
      <c r="C159">
        <v>0.86635803074589202</v>
      </c>
      <c r="D159">
        <v>0.8913430005136509</v>
      </c>
      <c r="E159">
        <v>0.89874126399639298</v>
      </c>
      <c r="F159">
        <v>0.57892659999999996</v>
      </c>
      <c r="G159">
        <v>0.52622413999999995</v>
      </c>
      <c r="H159">
        <v>0.60340464000000005</v>
      </c>
      <c r="I159">
        <v>12.149365402101999</v>
      </c>
      <c r="J159">
        <v>13.5754758127802</v>
      </c>
      <c r="K159">
        <v>13.1207844817593</v>
      </c>
      <c r="L159">
        <v>0.22289602871140901</v>
      </c>
      <c r="M159">
        <v>0.19817896021949499</v>
      </c>
      <c r="N159">
        <v>5.9490406668524003E-2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">
      <c r="A160" t="s">
        <v>5</v>
      </c>
      <c r="B160" t="s">
        <v>182</v>
      </c>
      <c r="C160">
        <v>1.116821747498328</v>
      </c>
      <c r="D160">
        <v>1.2518387022120869</v>
      </c>
      <c r="E160">
        <v>1.1701172315322761</v>
      </c>
      <c r="F160">
        <v>2.3696157630000001</v>
      </c>
      <c r="G160">
        <v>2.5835566339999998</v>
      </c>
      <c r="H160">
        <v>3.0180519619999999</v>
      </c>
      <c r="I160">
        <v>3.6773814899224051E-2</v>
      </c>
      <c r="J160">
        <v>0.10336192756800811</v>
      </c>
      <c r="K160">
        <v>7.9216139235265798E-2</v>
      </c>
      <c r="L160">
        <v>7.646238961851771</v>
      </c>
      <c r="M160">
        <v>10.23398287709832</v>
      </c>
      <c r="N160">
        <v>8.1335064811599445</v>
      </c>
      <c r="O160">
        <v>0</v>
      </c>
      <c r="P160">
        <v>0</v>
      </c>
      <c r="Q160">
        <v>1.42385094150346E-2</v>
      </c>
      <c r="R160">
        <v>1.3575312129335699E-2</v>
      </c>
      <c r="S160">
        <v>4.7158073401753403E-2</v>
      </c>
      <c r="T160">
        <v>1.33582507438117E-2</v>
      </c>
      <c r="U160">
        <v>0</v>
      </c>
      <c r="V160">
        <v>1.4479293878476299E-2</v>
      </c>
      <c r="W160">
        <v>0</v>
      </c>
      <c r="X160">
        <v>0</v>
      </c>
      <c r="Y160">
        <v>0</v>
      </c>
      <c r="Z160">
        <v>0</v>
      </c>
    </row>
    <row r="161" spans="1:26" x14ac:dyDescent="0.2">
      <c r="A161" t="s">
        <v>5</v>
      </c>
      <c r="B161" t="s">
        <v>183</v>
      </c>
      <c r="C161">
        <v>4.0598396226620759</v>
      </c>
      <c r="D161">
        <v>4.555003019817911</v>
      </c>
      <c r="E161">
        <v>3.8993537236041229</v>
      </c>
      <c r="F161">
        <v>4.2150766800000001</v>
      </c>
      <c r="G161">
        <v>4.6615725100000001</v>
      </c>
      <c r="H161">
        <v>5.0620361000000003</v>
      </c>
      <c r="I161">
        <v>1.4214984009255121</v>
      </c>
      <c r="J161">
        <v>1.4326688289162179</v>
      </c>
      <c r="K161">
        <v>1.577484599334297</v>
      </c>
      <c r="L161">
        <v>9.7049526203072611E-2</v>
      </c>
      <c r="M161">
        <v>2.3795000098941501E-2</v>
      </c>
      <c r="N161">
        <v>2.8063680020703748E-2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">
      <c r="A162" t="s">
        <v>5</v>
      </c>
      <c r="B162" t="s">
        <v>266</v>
      </c>
      <c r="C162">
        <v>0</v>
      </c>
      <c r="D162">
        <v>4.3321686808193496E-3</v>
      </c>
      <c r="E162">
        <v>1.0708649582926279E-3</v>
      </c>
      <c r="F162">
        <v>0</v>
      </c>
      <c r="G162">
        <v>0</v>
      </c>
      <c r="H162">
        <v>0</v>
      </c>
      <c r="I162">
        <v>6.3321746611485E-4</v>
      </c>
      <c r="J162">
        <v>5.7676827892345602E-4</v>
      </c>
      <c r="K162">
        <v>0</v>
      </c>
      <c r="L162">
        <v>8.8134051770504299E-4</v>
      </c>
      <c r="M162">
        <v>4.9986965533083897E-4</v>
      </c>
      <c r="N162">
        <v>0</v>
      </c>
      <c r="O162">
        <v>12.84675521719719</v>
      </c>
      <c r="P162">
        <v>8.2494579698790282</v>
      </c>
      <c r="Q162">
        <v>6.4706186919987436</v>
      </c>
      <c r="R162">
        <v>5.6330689118496008E-2</v>
      </c>
      <c r="S162">
        <v>8.2636306754025699E-3</v>
      </c>
      <c r="T162">
        <v>2.4834202519177201E-2</v>
      </c>
      <c r="U162">
        <v>1.1635376460007899E-2</v>
      </c>
      <c r="V162">
        <v>0</v>
      </c>
      <c r="W162">
        <v>1.52169009848884E-2</v>
      </c>
      <c r="X162">
        <v>0</v>
      </c>
      <c r="Y162">
        <v>0</v>
      </c>
      <c r="Z162">
        <v>0</v>
      </c>
    </row>
    <row r="163" spans="1:26" x14ac:dyDescent="0.2">
      <c r="A163" t="s">
        <v>5</v>
      </c>
      <c r="B163" t="s">
        <v>33</v>
      </c>
      <c r="C163">
        <v>0.90538216581334008</v>
      </c>
      <c r="D163">
        <v>0.90234416892917746</v>
      </c>
      <c r="E163">
        <v>0.99406139625760814</v>
      </c>
      <c r="F163">
        <v>0.221852619</v>
      </c>
      <c r="G163">
        <v>0.19881163900000001</v>
      </c>
      <c r="H163">
        <v>0.25490148769999998</v>
      </c>
      <c r="I163">
        <v>1.2486727815346299</v>
      </c>
      <c r="J163">
        <v>0.93568654791134065</v>
      </c>
      <c r="K163">
        <v>1.009085150777485</v>
      </c>
      <c r="L163">
        <v>0.14886464761047929</v>
      </c>
      <c r="M163">
        <v>0.14405710042906189</v>
      </c>
      <c r="N163">
        <v>0.14869762817406509</v>
      </c>
      <c r="O163">
        <v>6.3470355041304547</v>
      </c>
      <c r="P163">
        <v>5.1155542282227993</v>
      </c>
      <c r="Q163">
        <v>3.3088677868106822</v>
      </c>
      <c r="R163">
        <v>0.27946631197164268</v>
      </c>
      <c r="S163">
        <v>0.26794588724351459</v>
      </c>
      <c r="T163">
        <v>0.34092549739244249</v>
      </c>
      <c r="U163">
        <v>0.22722220049937711</v>
      </c>
      <c r="V163">
        <v>0.25878447059167659</v>
      </c>
      <c r="W163">
        <v>0.29952635140215023</v>
      </c>
      <c r="X163">
        <v>0</v>
      </c>
      <c r="Y163">
        <v>0</v>
      </c>
      <c r="Z163">
        <v>9.2019320000000002E-2</v>
      </c>
    </row>
    <row r="164" spans="1:26" x14ac:dyDescent="0.2">
      <c r="A164" t="s">
        <v>5</v>
      </c>
      <c r="B164" t="s">
        <v>262</v>
      </c>
      <c r="C164">
        <v>0.116100289237194</v>
      </c>
      <c r="D164">
        <v>0.17255013744404871</v>
      </c>
      <c r="E164">
        <v>0.1394341324115127</v>
      </c>
      <c r="F164">
        <v>4.1420632999999998E-2</v>
      </c>
      <c r="G164">
        <v>6.6546886E-2</v>
      </c>
      <c r="H164">
        <v>4.7096453000000003E-2</v>
      </c>
      <c r="I164">
        <v>0.43425448217328128</v>
      </c>
      <c r="J164">
        <v>1.0150473370987461</v>
      </c>
      <c r="K164">
        <v>0.56353292099292929</v>
      </c>
      <c r="L164">
        <v>7.4216572624414473E-2</v>
      </c>
      <c r="M164">
        <v>9.5395090608903152E-2</v>
      </c>
      <c r="N164">
        <v>8.2452079556452826E-2</v>
      </c>
      <c r="O164">
        <v>3.634240657381949</v>
      </c>
      <c r="P164">
        <v>3.3369895317402758</v>
      </c>
      <c r="Q164">
        <v>2.9480402273846771</v>
      </c>
      <c r="R164">
        <v>0.47575984038723862</v>
      </c>
      <c r="S164">
        <v>0.3323144638708892</v>
      </c>
      <c r="T164">
        <v>0.45260856952025008</v>
      </c>
      <c r="U164">
        <v>0.27400389894035959</v>
      </c>
      <c r="V164">
        <v>0.25574235632225961</v>
      </c>
      <c r="W164">
        <v>0.1110893917750545</v>
      </c>
      <c r="X164">
        <v>1.23675566</v>
      </c>
      <c r="Y164">
        <v>1.4332274899999999</v>
      </c>
      <c r="Z164">
        <v>2.4476608299999998</v>
      </c>
    </row>
    <row r="165" spans="1:26" x14ac:dyDescent="0.2">
      <c r="A165" t="s">
        <v>5</v>
      </c>
      <c r="B165" t="s">
        <v>194</v>
      </c>
      <c r="C165">
        <v>0.11294200216655439</v>
      </c>
      <c r="D165">
        <v>0.20256486963982309</v>
      </c>
      <c r="E165">
        <v>0.1192398737506576</v>
      </c>
      <c r="F165">
        <v>3.6743410999999997E-2</v>
      </c>
      <c r="G165">
        <v>1.1136797E-2</v>
      </c>
      <c r="H165">
        <v>1.0499114E-2</v>
      </c>
      <c r="I165">
        <v>2.7115244688231659E-2</v>
      </c>
      <c r="J165">
        <v>2.259500257651233E-2</v>
      </c>
      <c r="K165">
        <v>1.4085192177124201E-2</v>
      </c>
      <c r="L165">
        <v>4.3957011118825702E-3</v>
      </c>
      <c r="M165">
        <v>8.3102254747686299E-3</v>
      </c>
      <c r="N165">
        <v>9.2018342930405908E-3</v>
      </c>
      <c r="O165">
        <v>3.657244326287556</v>
      </c>
      <c r="P165">
        <v>3.6027607659399519</v>
      </c>
      <c r="Q165">
        <v>2.052233036937424</v>
      </c>
      <c r="R165">
        <v>1.039574091722488</v>
      </c>
      <c r="S165">
        <v>1.1300964449846449</v>
      </c>
      <c r="T165">
        <v>1.069604582284801</v>
      </c>
      <c r="U165">
        <v>0.64842506270143974</v>
      </c>
      <c r="V165">
        <v>0.47209810818518849</v>
      </c>
      <c r="W165">
        <v>0.6539733854597406</v>
      </c>
      <c r="X165">
        <v>0</v>
      </c>
      <c r="Y165">
        <v>0.72516780000000003</v>
      </c>
      <c r="Z165">
        <v>0.14949747999999999</v>
      </c>
    </row>
    <row r="166" spans="1:26" x14ac:dyDescent="0.2">
      <c r="A166" t="s">
        <v>5</v>
      </c>
      <c r="B166" t="s">
        <v>299</v>
      </c>
      <c r="C166">
        <v>18.3013515899327</v>
      </c>
      <c r="D166">
        <v>18.076398570807669</v>
      </c>
      <c r="E166">
        <v>18.345633876906891</v>
      </c>
      <c r="F166">
        <v>5.4764559868999996</v>
      </c>
      <c r="G166">
        <v>5.8365928711000006</v>
      </c>
      <c r="H166">
        <v>6.6670608107999998</v>
      </c>
      <c r="I166">
        <v>10.397746066437071</v>
      </c>
      <c r="J166">
        <v>11.733288875866</v>
      </c>
      <c r="K166">
        <v>9.3956936095517225</v>
      </c>
      <c r="L166">
        <v>16.87496944034266</v>
      </c>
      <c r="M166">
        <v>20.56587998138178</v>
      </c>
      <c r="N166">
        <v>18.026810624956269</v>
      </c>
      <c r="O166">
        <v>23.1554233004038</v>
      </c>
      <c r="P166">
        <v>23.6692743583876</v>
      </c>
      <c r="Q166">
        <v>17.300062203589111</v>
      </c>
      <c r="R166">
        <v>9.8804549786428808</v>
      </c>
      <c r="S166">
        <v>9.869047704666901</v>
      </c>
      <c r="T166">
        <v>9.5195954743865698</v>
      </c>
      <c r="U166">
        <v>7.650664998352168</v>
      </c>
      <c r="V166">
        <v>6.975019561672287</v>
      </c>
      <c r="W166">
        <v>6.9589579730847309</v>
      </c>
      <c r="X166">
        <v>10.590524504999999</v>
      </c>
      <c r="Y166">
        <v>8.4902625799999996</v>
      </c>
      <c r="Z166">
        <v>8.3253869340000008</v>
      </c>
    </row>
    <row r="167" spans="1:26" x14ac:dyDescent="0.2">
      <c r="A167" t="s">
        <v>6</v>
      </c>
      <c r="B167" t="s">
        <v>214</v>
      </c>
      <c r="C167">
        <v>1.8595706560474989</v>
      </c>
      <c r="D167">
        <v>1.8647657806652671</v>
      </c>
      <c r="E167">
        <v>1.810231457127826</v>
      </c>
      <c r="F167">
        <v>6.2292135999999998E-2</v>
      </c>
      <c r="G167">
        <v>0.26895790000000003</v>
      </c>
      <c r="H167">
        <v>0.21792347000000001</v>
      </c>
      <c r="I167">
        <v>20.3299998129737</v>
      </c>
      <c r="J167">
        <v>22.20171649607801</v>
      </c>
      <c r="K167">
        <v>22.5174375279448</v>
      </c>
      <c r="L167">
        <v>0.28840126541429068</v>
      </c>
      <c r="M167">
        <v>0.2488490522695033</v>
      </c>
      <c r="N167">
        <v>0.18876238035568821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 t="s">
        <v>6</v>
      </c>
      <c r="B168" t="s">
        <v>182</v>
      </c>
      <c r="C168">
        <v>0.7657919802612505</v>
      </c>
      <c r="D168">
        <v>0.5494770352726025</v>
      </c>
      <c r="E168">
        <v>0.64091643495904338</v>
      </c>
      <c r="F168">
        <v>0.34809835</v>
      </c>
      <c r="G168">
        <v>0.19100947300000001</v>
      </c>
      <c r="H168">
        <v>0.434797877</v>
      </c>
      <c r="I168">
        <v>4.6359355810326797E-2</v>
      </c>
      <c r="J168">
        <v>0.1498014569924522</v>
      </c>
      <c r="K168">
        <v>5.2303268915495027E-2</v>
      </c>
      <c r="L168">
        <v>7.2134830430573391</v>
      </c>
      <c r="M168">
        <v>9.7703232289686923</v>
      </c>
      <c r="N168">
        <v>7.940942682963863</v>
      </c>
      <c r="O168">
        <v>1.2859631632478399E-2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 t="s">
        <v>6</v>
      </c>
      <c r="B169" t="s">
        <v>262</v>
      </c>
      <c r="C169">
        <v>6.4865854535705592E-3</v>
      </c>
      <c r="D169">
        <v>0</v>
      </c>
      <c r="E169">
        <v>2.5907417148868998E-3</v>
      </c>
      <c r="F169">
        <v>3.5595494999999998E-2</v>
      </c>
      <c r="G169">
        <v>0</v>
      </c>
      <c r="H169">
        <v>1.8550259999999999E-2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2.9143496839638989</v>
      </c>
      <c r="P169">
        <v>2.972369069182053</v>
      </c>
      <c r="Q169">
        <v>2.5946735030688339</v>
      </c>
      <c r="R169">
        <v>0.32099442589456539</v>
      </c>
      <c r="S169">
        <v>0.13426781643088831</v>
      </c>
      <c r="T169">
        <v>0.29174284692658992</v>
      </c>
      <c r="U169">
        <v>0.11253302648263069</v>
      </c>
      <c r="V169">
        <v>0.14957549342947191</v>
      </c>
      <c r="W169">
        <v>0.19257950530035359</v>
      </c>
      <c r="X169">
        <v>1.1446362999999999</v>
      </c>
      <c r="Y169">
        <v>0.5686118</v>
      </c>
      <c r="Z169">
        <v>0.66034519999999997</v>
      </c>
    </row>
    <row r="170" spans="1:26" x14ac:dyDescent="0.2">
      <c r="A170" t="s">
        <v>6</v>
      </c>
      <c r="B170" t="s">
        <v>40</v>
      </c>
      <c r="C170">
        <v>0.69774168306839901</v>
      </c>
      <c r="D170">
        <v>0.55162759718451404</v>
      </c>
      <c r="E170">
        <v>0.52171413541744904</v>
      </c>
      <c r="F170">
        <v>9.7887569999999993E-2</v>
      </c>
      <c r="G170">
        <v>0.10525145</v>
      </c>
      <c r="H170">
        <v>0.32462950000000002</v>
      </c>
      <c r="I170">
        <v>1.8333916677131219</v>
      </c>
      <c r="J170">
        <v>4.5585491372893756</v>
      </c>
      <c r="K170">
        <v>2.760405799261433</v>
      </c>
      <c r="L170">
        <v>6.4266348194291001E-2</v>
      </c>
      <c r="M170">
        <v>4.8241293363262397E-2</v>
      </c>
      <c r="N170">
        <v>2.1613549367596699E-2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 t="s">
        <v>6</v>
      </c>
      <c r="B171" t="s">
        <v>184</v>
      </c>
      <c r="C171">
        <v>0.78135673386472804</v>
      </c>
      <c r="D171">
        <v>0.74075568826448002</v>
      </c>
      <c r="E171">
        <v>0.71731795295709</v>
      </c>
      <c r="F171">
        <v>0.27411180000000002</v>
      </c>
      <c r="G171">
        <v>0.26172849999999998</v>
      </c>
      <c r="H171">
        <v>0.25891718000000002</v>
      </c>
      <c r="I171">
        <v>0.91529758994404309</v>
      </c>
      <c r="J171">
        <v>3.8429708365750201</v>
      </c>
      <c r="K171">
        <v>1.84326717671022</v>
      </c>
      <c r="L171">
        <v>8.1080271663129908E-2</v>
      </c>
      <c r="M171">
        <v>7.2685005545025702E-2</v>
      </c>
      <c r="N171">
        <v>8.240850651416981E-2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 t="s">
        <v>6</v>
      </c>
      <c r="B172" t="s">
        <v>267</v>
      </c>
      <c r="C172">
        <v>0</v>
      </c>
      <c r="D172">
        <v>2.7943193556216599E-2</v>
      </c>
      <c r="E172">
        <v>1.803937777109792E-2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1.227556065778476E-2</v>
      </c>
      <c r="P172">
        <v>5.2127977287095562E-2</v>
      </c>
      <c r="Q172">
        <v>8.8645507858146899E-2</v>
      </c>
      <c r="R172">
        <v>0.55915887914544082</v>
      </c>
      <c r="S172">
        <v>0.93843631106923697</v>
      </c>
      <c r="T172">
        <v>0.74906728375488185</v>
      </c>
      <c r="U172">
        <v>0.90179474145780048</v>
      </c>
      <c r="V172">
        <v>0.86386538644357846</v>
      </c>
      <c r="W172">
        <v>0.89823321554770363</v>
      </c>
      <c r="X172">
        <v>0.99983484</v>
      </c>
      <c r="Y172">
        <v>1.7775791299999999</v>
      </c>
      <c r="Z172">
        <v>1.83191478</v>
      </c>
    </row>
    <row r="173" spans="1:26" x14ac:dyDescent="0.2">
      <c r="A173" t="s">
        <v>6</v>
      </c>
      <c r="B173" t="s">
        <v>212</v>
      </c>
      <c r="C173">
        <v>0.30744148232427271</v>
      </c>
      <c r="D173">
        <v>0.200510264558627</v>
      </c>
      <c r="E173">
        <v>0.22989591944089541</v>
      </c>
      <c r="F173">
        <v>0.19730864000000001</v>
      </c>
      <c r="G173">
        <v>8.8305118000000002E-2</v>
      </c>
      <c r="H173">
        <v>3.7391093E-2</v>
      </c>
      <c r="I173">
        <v>1.4939835434706899E-2</v>
      </c>
      <c r="J173">
        <v>3.87015725145076E-2</v>
      </c>
      <c r="K173">
        <v>2.4722829416927501E-2</v>
      </c>
      <c r="L173">
        <v>2.7333358188521268</v>
      </c>
      <c r="M173">
        <v>2.3751070073810401</v>
      </c>
      <c r="N173">
        <v>2.6233427389486179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 t="s">
        <v>6</v>
      </c>
      <c r="B174" t="s">
        <v>268</v>
      </c>
      <c r="C174">
        <v>0.33555655818637198</v>
      </c>
      <c r="D174">
        <v>0.33512923127289601</v>
      </c>
      <c r="E174">
        <v>0.35125497858270099</v>
      </c>
      <c r="F174">
        <v>6.0262516000000002E-2</v>
      </c>
      <c r="G174">
        <v>8.9094329999999999E-2</v>
      </c>
      <c r="H174">
        <v>0.15702622999999999</v>
      </c>
      <c r="I174">
        <v>0.97819362917324604</v>
      </c>
      <c r="J174">
        <v>2.5732167335212699</v>
      </c>
      <c r="K174">
        <v>1.54686542633348</v>
      </c>
      <c r="L174">
        <v>3.8811987208949787E-2</v>
      </c>
      <c r="M174">
        <v>2.6229821311654501E-2</v>
      </c>
      <c r="N174">
        <v>1.8544950874695799E-2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 t="s">
        <v>6</v>
      </c>
      <c r="B175" t="s">
        <v>47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2.8497729172331172</v>
      </c>
      <c r="P175">
        <v>1.7016138728682431</v>
      </c>
      <c r="Q175">
        <v>0.702922130454949</v>
      </c>
      <c r="R175">
        <v>9.0172982386375305E-2</v>
      </c>
      <c r="S175">
        <v>6.6641254863603297E-2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">
      <c r="A176" t="s">
        <v>6</v>
      </c>
      <c r="B176" t="s">
        <v>181</v>
      </c>
      <c r="C176">
        <v>0.29633407658791622</v>
      </c>
      <c r="D176">
        <v>0.29600988919808308</v>
      </c>
      <c r="E176">
        <v>0.35581085143157792</v>
      </c>
      <c r="F176">
        <v>0.41602356899999998</v>
      </c>
      <c r="G176">
        <v>0.26079798399999998</v>
      </c>
      <c r="H176">
        <v>0.36975646600000001</v>
      </c>
      <c r="I176">
        <v>0.43012921733074372</v>
      </c>
      <c r="J176">
        <v>1.4972281442712181</v>
      </c>
      <c r="K176">
        <v>0.66352857403083465</v>
      </c>
      <c r="L176">
        <v>0.2391886044260163</v>
      </c>
      <c r="M176">
        <v>0.24064379081874521</v>
      </c>
      <c r="N176">
        <v>0.18915981931711801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">
      <c r="A177" t="s">
        <v>6</v>
      </c>
      <c r="B177" t="s">
        <v>299</v>
      </c>
      <c r="C177">
        <v>2.3178862798691351</v>
      </c>
      <c r="D177">
        <v>2.3016628754310999</v>
      </c>
      <c r="E177">
        <v>2.4807582475388892</v>
      </c>
      <c r="F177">
        <v>0.40998329</v>
      </c>
      <c r="G177">
        <v>0.69074197100000001</v>
      </c>
      <c r="H177">
        <v>0.62437752199999996</v>
      </c>
      <c r="I177">
        <v>1.61781362744548</v>
      </c>
      <c r="J177">
        <v>1.895301822419361</v>
      </c>
      <c r="K177">
        <v>1.776643772666302</v>
      </c>
      <c r="L177">
        <v>1.8104188873350999</v>
      </c>
      <c r="M177">
        <v>1.8214037131453671</v>
      </c>
      <c r="N177">
        <v>1.873611769474838</v>
      </c>
      <c r="O177">
        <v>1.397577783819892</v>
      </c>
      <c r="P177">
        <v>1.185310304971938</v>
      </c>
      <c r="Q177">
        <v>1.104473265041223</v>
      </c>
      <c r="R177">
        <v>2.105229237657094</v>
      </c>
      <c r="S177">
        <v>1.6855073610321989</v>
      </c>
      <c r="T177">
        <v>1.8843904117444661</v>
      </c>
      <c r="U177">
        <v>1.691838478854671</v>
      </c>
      <c r="V177">
        <v>1.320314156800515</v>
      </c>
      <c r="W177">
        <v>2.232493797458837</v>
      </c>
      <c r="X177">
        <v>5.08111187</v>
      </c>
      <c r="Y177">
        <v>5.8271304100000014</v>
      </c>
      <c r="Z177">
        <v>7.4000997399999999</v>
      </c>
    </row>
    <row r="178" spans="1:26" x14ac:dyDescent="0.2">
      <c r="A178" t="s">
        <v>7</v>
      </c>
      <c r="B178" t="s">
        <v>260</v>
      </c>
      <c r="C178">
        <v>0.17003092898104391</v>
      </c>
      <c r="D178">
        <v>0.25198263745815991</v>
      </c>
      <c r="E178">
        <v>0.21035169459682879</v>
      </c>
      <c r="F178">
        <v>2.7608873999999999E-2</v>
      </c>
      <c r="G178">
        <v>8.4126449999999992E-2</v>
      </c>
      <c r="H178">
        <v>2.5712084499999999E-2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0.17813157709233349</v>
      </c>
      <c r="P178">
        <v>0.24225546587440419</v>
      </c>
      <c r="Q178">
        <v>0.37551551673923739</v>
      </c>
      <c r="R178">
        <v>2.436281735720212</v>
      </c>
      <c r="S178">
        <v>3.1461921851513548</v>
      </c>
      <c r="T178">
        <v>3.6750571773611398</v>
      </c>
      <c r="U178">
        <v>4.0135736748909361</v>
      </c>
      <c r="V178">
        <v>4.6074429420755134</v>
      </c>
      <c r="W178">
        <v>4.8802420870611236</v>
      </c>
      <c r="X178">
        <v>50.765116589999998</v>
      </c>
      <c r="Y178">
        <v>45.164638584999999</v>
      </c>
      <c r="Z178">
        <v>45.253458817999999</v>
      </c>
    </row>
    <row r="179" spans="1:26" x14ac:dyDescent="0.2">
      <c r="A179" t="s">
        <v>7</v>
      </c>
      <c r="B179" t="s">
        <v>214</v>
      </c>
      <c r="C179">
        <v>2.9140963353843699</v>
      </c>
      <c r="D179">
        <v>2.9990545429914799</v>
      </c>
      <c r="E179">
        <v>3.0412264221838199</v>
      </c>
      <c r="F179">
        <v>0.50106965000000003</v>
      </c>
      <c r="G179">
        <v>0.41273373000000002</v>
      </c>
      <c r="H179">
        <v>0.66592242000000001</v>
      </c>
      <c r="I179">
        <v>34.136288704415698</v>
      </c>
      <c r="J179">
        <v>37.514537086621303</v>
      </c>
      <c r="K179">
        <v>37.999841646380801</v>
      </c>
      <c r="L179">
        <v>0.41968188619094698</v>
      </c>
      <c r="M179">
        <v>0.38329936341900511</v>
      </c>
      <c r="N179">
        <v>0.226709218603312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1.3685392379750099E-3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">
      <c r="A180" t="s">
        <v>7</v>
      </c>
      <c r="B180" t="s">
        <v>46</v>
      </c>
      <c r="C180">
        <v>0.20063296519345319</v>
      </c>
      <c r="D180">
        <v>0.1430801013755694</v>
      </c>
      <c r="E180">
        <v>0.18639437889832419</v>
      </c>
      <c r="F180">
        <v>0.2510097402</v>
      </c>
      <c r="G180">
        <v>0.131350203</v>
      </c>
      <c r="H180">
        <v>0.12731202999999999</v>
      </c>
      <c r="I180">
        <v>0.1259523866776745</v>
      </c>
      <c r="J180">
        <v>8.8255650645138489E-2</v>
      </c>
      <c r="K180">
        <v>0.1028946627585407</v>
      </c>
      <c r="L180">
        <v>6.52509803538074E-3</v>
      </c>
      <c r="M180">
        <v>3.8019346074130399E-3</v>
      </c>
      <c r="N180">
        <v>4.16452652607979E-3</v>
      </c>
      <c r="O180">
        <v>3.8079581348666869</v>
      </c>
      <c r="P180">
        <v>3.5820220535475338</v>
      </c>
      <c r="Q180">
        <v>4.0100208903383026</v>
      </c>
      <c r="R180">
        <v>0.34027411160552068</v>
      </c>
      <c r="S180">
        <v>0.25375603230655258</v>
      </c>
      <c r="T180">
        <v>0.20651990581758559</v>
      </c>
      <c r="U180">
        <v>0.45069069337459439</v>
      </c>
      <c r="V180">
        <v>0.42030903785823442</v>
      </c>
      <c r="W180">
        <v>0.83808736185249266</v>
      </c>
      <c r="X180">
        <v>22.169586079999998</v>
      </c>
      <c r="Y180">
        <v>38.999940500000001</v>
      </c>
      <c r="Z180">
        <v>28.549422589999999</v>
      </c>
    </row>
    <row r="181" spans="1:26" x14ac:dyDescent="0.2">
      <c r="A181" t="s">
        <v>7</v>
      </c>
      <c r="B181" t="s">
        <v>195</v>
      </c>
      <c r="C181">
        <v>1.142772448577027</v>
      </c>
      <c r="D181">
        <v>1.162528293153761</v>
      </c>
      <c r="E181">
        <v>1.180128879537085</v>
      </c>
      <c r="F181">
        <v>0.97522755800000005</v>
      </c>
      <c r="G181">
        <v>1.3838499209999999</v>
      </c>
      <c r="H181">
        <v>2.3524708455000001</v>
      </c>
      <c r="I181">
        <v>28.84858354329257</v>
      </c>
      <c r="J181">
        <v>19.875838208498781</v>
      </c>
      <c r="K181">
        <v>25.49134540546806</v>
      </c>
      <c r="L181">
        <v>0.3396791480456488</v>
      </c>
      <c r="M181">
        <v>0.2358369547355553</v>
      </c>
      <c r="N181">
        <v>0.1247152897805372</v>
      </c>
      <c r="O181">
        <v>0</v>
      </c>
      <c r="P181">
        <v>1.14417807289384E-2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 t="s">
        <v>7</v>
      </c>
      <c r="B182" t="s">
        <v>183</v>
      </c>
      <c r="C182">
        <v>14.87229752851505</v>
      </c>
      <c r="D182">
        <v>15.94554449856912</v>
      </c>
      <c r="E182">
        <v>15.178836326745319</v>
      </c>
      <c r="F182">
        <v>4.4740051799999998</v>
      </c>
      <c r="G182">
        <v>4.6248243799999997</v>
      </c>
      <c r="H182">
        <v>7.9023501100000004</v>
      </c>
      <c r="I182">
        <v>6.4394858737287706</v>
      </c>
      <c r="J182">
        <v>5.8033624327665017</v>
      </c>
      <c r="K182">
        <v>6.6785059284283053</v>
      </c>
      <c r="L182">
        <v>0.23732691010082241</v>
      </c>
      <c r="M182">
        <v>0.1349759916304096</v>
      </c>
      <c r="N182">
        <v>0.13137932445939721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">
      <c r="A183" t="s">
        <v>7</v>
      </c>
      <c r="B183" t="s">
        <v>32</v>
      </c>
      <c r="C183">
        <v>0.17020529955775249</v>
      </c>
      <c r="D183">
        <v>0.20936369332196911</v>
      </c>
      <c r="E183">
        <v>0.26615878860749981</v>
      </c>
      <c r="F183">
        <v>0</v>
      </c>
      <c r="G183">
        <v>0</v>
      </c>
      <c r="H183">
        <v>9.2628916300000003E-2</v>
      </c>
      <c r="I183">
        <v>0</v>
      </c>
      <c r="J183">
        <v>0</v>
      </c>
      <c r="K183">
        <v>0</v>
      </c>
      <c r="L183">
        <v>0</v>
      </c>
      <c r="M183">
        <v>2.26274904220328E-4</v>
      </c>
      <c r="N183">
        <v>0</v>
      </c>
      <c r="O183">
        <v>8.4420477394103486</v>
      </c>
      <c r="P183">
        <v>10.57878732638552</v>
      </c>
      <c r="Q183">
        <v>10.31475375648553</v>
      </c>
      <c r="R183">
        <v>4.3333356187394143</v>
      </c>
      <c r="S183">
        <v>3.988845177391168</v>
      </c>
      <c r="T183">
        <v>4.1314033584531451</v>
      </c>
      <c r="U183">
        <v>2.5057394859878341</v>
      </c>
      <c r="V183">
        <v>2.4840544947969598</v>
      </c>
      <c r="W183">
        <v>2.7630930005262768</v>
      </c>
      <c r="X183">
        <v>6.9982654200000001</v>
      </c>
      <c r="Y183">
        <v>11.011253158000001</v>
      </c>
      <c r="Z183">
        <v>4.8765422350000014</v>
      </c>
    </row>
    <row r="184" spans="1:26" x14ac:dyDescent="0.2">
      <c r="A184" t="s">
        <v>7</v>
      </c>
      <c r="B184" t="s">
        <v>182</v>
      </c>
      <c r="C184">
        <v>1.5935247486339159</v>
      </c>
      <c r="D184">
        <v>1.6363349006282339</v>
      </c>
      <c r="E184">
        <v>1.6937382580596669</v>
      </c>
      <c r="F184">
        <v>1.3238829729999999</v>
      </c>
      <c r="G184">
        <v>1.4390354409999999</v>
      </c>
      <c r="H184">
        <v>1.437554046</v>
      </c>
      <c r="I184">
        <v>0.1389320088312016</v>
      </c>
      <c r="J184">
        <v>0.27605645424754061</v>
      </c>
      <c r="K184">
        <v>0.1569294715750077</v>
      </c>
      <c r="L184">
        <v>16.1861199258745</v>
      </c>
      <c r="M184">
        <v>21.724732707392139</v>
      </c>
      <c r="N184">
        <v>17.02324291706994</v>
      </c>
      <c r="O184">
        <v>7.4754371301303402E-3</v>
      </c>
      <c r="P184">
        <v>8.6763605053000702E-3</v>
      </c>
      <c r="Q184">
        <v>8.0433195862202895E-3</v>
      </c>
      <c r="R184">
        <v>1.53373602188505E-2</v>
      </c>
      <c r="S184">
        <v>1.7936897218846001E-2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0.3077182</v>
      </c>
    </row>
    <row r="185" spans="1:26" x14ac:dyDescent="0.2">
      <c r="A185" t="s">
        <v>7</v>
      </c>
      <c r="B185" t="s">
        <v>40</v>
      </c>
      <c r="C185">
        <v>2.7749638725961412</v>
      </c>
      <c r="D185">
        <v>2.9402217167241509</v>
      </c>
      <c r="E185">
        <v>2.5338769068911078</v>
      </c>
      <c r="F185">
        <v>3.2594396749999999</v>
      </c>
      <c r="G185">
        <v>3.5022441839999998</v>
      </c>
      <c r="H185">
        <v>6.6826211019999997</v>
      </c>
      <c r="I185">
        <v>4.3959844572275442</v>
      </c>
      <c r="J185">
        <v>7.6005471299673601</v>
      </c>
      <c r="K185">
        <v>5.7992490105486239</v>
      </c>
      <c r="L185">
        <v>0.2107748462238043</v>
      </c>
      <c r="M185">
        <v>0.23802571274443929</v>
      </c>
      <c r="N185">
        <v>0.12517082613167771</v>
      </c>
      <c r="O185">
        <v>0.48898824808918101</v>
      </c>
      <c r="P185">
        <v>0.39680095567958401</v>
      </c>
      <c r="Q185">
        <v>0.4900312456178828</v>
      </c>
      <c r="R185">
        <v>2.208387897403552E-2</v>
      </c>
      <c r="S185">
        <v>1.44703437066231E-2</v>
      </c>
      <c r="T185">
        <v>0</v>
      </c>
      <c r="U185">
        <v>2.766683610485805E-2</v>
      </c>
      <c r="V185">
        <v>5.9438232648613899E-2</v>
      </c>
      <c r="W185">
        <v>9.4812420118788099E-2</v>
      </c>
      <c r="X185">
        <v>0.13176884999999999</v>
      </c>
      <c r="Y185">
        <v>1.2696518000000001</v>
      </c>
      <c r="Z185">
        <v>0.10257276999999999</v>
      </c>
    </row>
    <row r="186" spans="1:26" x14ac:dyDescent="0.2">
      <c r="A186" t="s">
        <v>7</v>
      </c>
      <c r="B186" t="s">
        <v>262</v>
      </c>
      <c r="C186">
        <v>0.14234306103188149</v>
      </c>
      <c r="D186">
        <v>0.1883209247980675</v>
      </c>
      <c r="E186">
        <v>0.15313744645675201</v>
      </c>
      <c r="F186">
        <v>3.4446130000000012E-2</v>
      </c>
      <c r="G186">
        <v>0.137375681</v>
      </c>
      <c r="H186">
        <v>7.2926845400000009E-2</v>
      </c>
      <c r="I186">
        <v>0.28980519879555078</v>
      </c>
      <c r="J186">
        <v>0.80930356703815609</v>
      </c>
      <c r="K186">
        <v>0.465594830013082</v>
      </c>
      <c r="L186">
        <v>7.8776073499643093E-2</v>
      </c>
      <c r="M186">
        <v>0.14736174646370179</v>
      </c>
      <c r="N186">
        <v>6.6594132955876364E-2</v>
      </c>
      <c r="O186">
        <v>7.4209439795373751</v>
      </c>
      <c r="P186">
        <v>6.1439996586858578</v>
      </c>
      <c r="Q186">
        <v>5.634138624114132</v>
      </c>
      <c r="R186">
        <v>0.8216903320466491</v>
      </c>
      <c r="S186">
        <v>0.43130542350208179</v>
      </c>
      <c r="T186">
        <v>1.0708594482637639</v>
      </c>
      <c r="U186">
        <v>0.44203817386592759</v>
      </c>
      <c r="V186">
        <v>0.48563405412915739</v>
      </c>
      <c r="W186">
        <v>0.6857454326742356</v>
      </c>
      <c r="X186">
        <v>8.3033150899999999</v>
      </c>
      <c r="Y186">
        <v>5.1893159999999998</v>
      </c>
      <c r="Z186">
        <v>3.82857862</v>
      </c>
    </row>
    <row r="187" spans="1:26" x14ac:dyDescent="0.2">
      <c r="A187" t="s">
        <v>7</v>
      </c>
      <c r="B187" t="s">
        <v>212</v>
      </c>
      <c r="C187">
        <v>3.771546209292636</v>
      </c>
      <c r="D187">
        <v>3.7659330672883091</v>
      </c>
      <c r="E187">
        <v>3.6864770421582662</v>
      </c>
      <c r="F187">
        <v>0.71845545999999993</v>
      </c>
      <c r="G187">
        <v>0.64942942400000003</v>
      </c>
      <c r="H187">
        <v>0.45244986069999998</v>
      </c>
      <c r="I187">
        <v>0.1519641764566006</v>
      </c>
      <c r="J187">
        <v>0.29206114248955101</v>
      </c>
      <c r="K187">
        <v>0.22984976071008659</v>
      </c>
      <c r="L187">
        <v>6.5677605394146248</v>
      </c>
      <c r="M187">
        <v>6.7220595662232654</v>
      </c>
      <c r="N187">
        <v>6.396205712293809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">
      <c r="A188" t="s">
        <v>7</v>
      </c>
      <c r="B188" t="s">
        <v>299</v>
      </c>
      <c r="C188">
        <v>20.961368198730149</v>
      </c>
      <c r="D188">
        <v>20.781658698486691</v>
      </c>
      <c r="E188">
        <v>20.76245209288345</v>
      </c>
      <c r="F188">
        <v>16.2399570756</v>
      </c>
      <c r="G188">
        <v>16.804854600300001</v>
      </c>
      <c r="H188">
        <v>20.031505352100002</v>
      </c>
      <c r="I188">
        <v>13.554044799022479</v>
      </c>
      <c r="J188">
        <v>17.310692020895011</v>
      </c>
      <c r="K188">
        <v>13.85179653733419</v>
      </c>
      <c r="L188">
        <v>12.60500848336088</v>
      </c>
      <c r="M188">
        <v>14.845085145611771</v>
      </c>
      <c r="N188">
        <v>12.749249025218219</v>
      </c>
      <c r="O188">
        <v>23.00369575944331</v>
      </c>
      <c r="P188">
        <v>22.304359124529249</v>
      </c>
      <c r="Q188">
        <v>16.69787393166234</v>
      </c>
      <c r="R188">
        <v>13.24258671402028</v>
      </c>
      <c r="S188">
        <v>13.218184302697731</v>
      </c>
      <c r="T188">
        <v>12.068288996984281</v>
      </c>
      <c r="U188">
        <v>9.7725822938951978</v>
      </c>
      <c r="V188">
        <v>9.8291882088820977</v>
      </c>
      <c r="W188">
        <v>8.2878054281632956</v>
      </c>
      <c r="X188">
        <v>29.907451613999999</v>
      </c>
      <c r="Y188">
        <v>25.974121579999998</v>
      </c>
      <c r="Z188">
        <v>34.141114885</v>
      </c>
    </row>
    <row r="189" spans="1:26" x14ac:dyDescent="0.2">
      <c r="A189" t="s">
        <v>79</v>
      </c>
      <c r="B189" t="s">
        <v>43</v>
      </c>
      <c r="C189">
        <v>5.9061493963508592E-2</v>
      </c>
      <c r="D189">
        <v>4.9547591765774987E-2</v>
      </c>
      <c r="E189">
        <v>6.6166303449312375E-2</v>
      </c>
      <c r="F189">
        <v>0</v>
      </c>
      <c r="G189">
        <v>1.8581689299999999E-2</v>
      </c>
      <c r="H189">
        <v>0</v>
      </c>
      <c r="I189">
        <v>0.24488950755986799</v>
      </c>
      <c r="J189">
        <v>0.20560315648018099</v>
      </c>
      <c r="K189">
        <v>0.19563502906254701</v>
      </c>
      <c r="L189">
        <v>4.6145082584418042E-3</v>
      </c>
      <c r="M189">
        <v>7.9944730418832297E-3</v>
      </c>
      <c r="N189">
        <v>7.54473829106528E-3</v>
      </c>
      <c r="O189">
        <v>0.2143708313612547</v>
      </c>
      <c r="P189">
        <v>0.2920563013183255</v>
      </c>
      <c r="Q189">
        <v>0.33276043707909181</v>
      </c>
      <c r="R189">
        <v>0.225542155457893</v>
      </c>
      <c r="S189">
        <v>0.30191379645145699</v>
      </c>
      <c r="T189">
        <v>0.208233540003913</v>
      </c>
      <c r="U189">
        <v>0.1119297520430335</v>
      </c>
      <c r="V189">
        <v>0.2028198059189594</v>
      </c>
      <c r="W189">
        <v>0.14121494624464351</v>
      </c>
      <c r="X189">
        <v>0.24291214</v>
      </c>
      <c r="Y189">
        <v>0</v>
      </c>
      <c r="Z189">
        <v>0</v>
      </c>
    </row>
    <row r="190" spans="1:26" x14ac:dyDescent="0.2">
      <c r="A190" t="s">
        <v>16</v>
      </c>
      <c r="B190" t="s">
        <v>214</v>
      </c>
      <c r="C190">
        <v>3.339170388388665</v>
      </c>
      <c r="D190">
        <v>3.2823727301976069</v>
      </c>
      <c r="E190">
        <v>3.193336214022696</v>
      </c>
      <c r="F190">
        <v>1.33287818</v>
      </c>
      <c r="G190">
        <v>1.5483652999999999</v>
      </c>
      <c r="H190">
        <v>1.6280013600000001</v>
      </c>
      <c r="I190">
        <v>38.155430396397698</v>
      </c>
      <c r="J190">
        <v>42.907813063085797</v>
      </c>
      <c r="K190">
        <v>42.946051095434399</v>
      </c>
      <c r="L190">
        <v>0.72234717726557096</v>
      </c>
      <c r="M190">
        <v>0.77088590496626097</v>
      </c>
      <c r="N190">
        <v>0.4275862251089001</v>
      </c>
      <c r="O190">
        <v>0</v>
      </c>
      <c r="P190">
        <v>0</v>
      </c>
      <c r="Q190">
        <v>2.5888198936426499E-3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">
      <c r="A191" t="s">
        <v>16</v>
      </c>
      <c r="B191" t="s">
        <v>32</v>
      </c>
      <c r="C191">
        <v>0.26183049872164582</v>
      </c>
      <c r="D191">
        <v>0.39965455540942518</v>
      </c>
      <c r="E191">
        <v>0.34950777786127618</v>
      </c>
      <c r="F191">
        <v>2.2325433700000001E-2</v>
      </c>
      <c r="G191">
        <v>0</v>
      </c>
      <c r="H191">
        <v>0.12960234000000001</v>
      </c>
      <c r="I191">
        <v>2.2158158307928901E-3</v>
      </c>
      <c r="J191">
        <v>3.5111295227895003E-4</v>
      </c>
      <c r="K191">
        <v>0</v>
      </c>
      <c r="L191">
        <v>2.0994484593043149E-3</v>
      </c>
      <c r="M191">
        <v>2.0244290860472699E-3</v>
      </c>
      <c r="N191">
        <v>0</v>
      </c>
      <c r="O191">
        <v>15.614993169054969</v>
      </c>
      <c r="P191">
        <v>18.284939125847941</v>
      </c>
      <c r="Q191">
        <v>15.544209493058739</v>
      </c>
      <c r="R191">
        <v>6.0978108095136871</v>
      </c>
      <c r="S191">
        <v>5.0946757477902551</v>
      </c>
      <c r="T191">
        <v>5.304858220384153</v>
      </c>
      <c r="U191">
        <v>4.0004915569507826</v>
      </c>
      <c r="V191">
        <v>3.5716907866351728</v>
      </c>
      <c r="W191">
        <v>3.5842793774904131</v>
      </c>
      <c r="X191">
        <v>4.2848410550000002</v>
      </c>
      <c r="Y191">
        <v>4.2740707000000002</v>
      </c>
      <c r="Z191">
        <v>4.5547120200000002</v>
      </c>
    </row>
    <row r="192" spans="1:26" x14ac:dyDescent="0.2">
      <c r="A192" t="s">
        <v>16</v>
      </c>
      <c r="B192" t="s">
        <v>260</v>
      </c>
      <c r="C192">
        <v>0.15438552898583879</v>
      </c>
      <c r="D192">
        <v>0.13852215191659659</v>
      </c>
      <c r="E192">
        <v>0.1213365146163673</v>
      </c>
      <c r="F192">
        <v>7.4069319999999994E-2</v>
      </c>
      <c r="G192">
        <v>1.2897466E-2</v>
      </c>
      <c r="H192">
        <v>0</v>
      </c>
      <c r="I192">
        <v>3.6603710066554599E-4</v>
      </c>
      <c r="J192">
        <v>0</v>
      </c>
      <c r="K192">
        <v>0</v>
      </c>
      <c r="L192">
        <v>0</v>
      </c>
      <c r="M192">
        <v>3.5877047551284E-4</v>
      </c>
      <c r="N192">
        <v>0</v>
      </c>
      <c r="O192">
        <v>9.7956087261546268E-2</v>
      </c>
      <c r="P192">
        <v>0.1064783750344223</v>
      </c>
      <c r="Q192">
        <v>0.24059844886541371</v>
      </c>
      <c r="R192">
        <v>1.705833956106491</v>
      </c>
      <c r="S192">
        <v>2.2707579669598612</v>
      </c>
      <c r="T192">
        <v>2.3772154119131299</v>
      </c>
      <c r="U192">
        <v>2.5196371415963319</v>
      </c>
      <c r="V192">
        <v>2.896809436404455</v>
      </c>
      <c r="W192">
        <v>2.9471618675287581</v>
      </c>
      <c r="X192">
        <v>9.1202434799999992</v>
      </c>
      <c r="Y192">
        <v>4.0838524400000003</v>
      </c>
      <c r="Z192">
        <v>3.8245091100000002</v>
      </c>
    </row>
    <row r="193" spans="1:26" x14ac:dyDescent="0.2">
      <c r="A193" t="s">
        <v>16</v>
      </c>
      <c r="B193" t="s">
        <v>33</v>
      </c>
      <c r="C193">
        <v>0.23955683717929391</v>
      </c>
      <c r="D193">
        <v>0.29562888413494909</v>
      </c>
      <c r="E193">
        <v>0.22687119561133201</v>
      </c>
      <c r="F193">
        <v>0.13276558999999999</v>
      </c>
      <c r="G193">
        <v>9.3338774999999999E-2</v>
      </c>
      <c r="H193">
        <v>5.1707845000000002E-2</v>
      </c>
      <c r="I193">
        <v>1.1167506948916019</v>
      </c>
      <c r="J193">
        <v>0.77723019874508714</v>
      </c>
      <c r="K193">
        <v>1.072594266977992</v>
      </c>
      <c r="L193">
        <v>4.3480280464311214E-3</v>
      </c>
      <c r="M193">
        <v>1.9633434655163058E-3</v>
      </c>
      <c r="N193">
        <v>4.4972661216955501E-3</v>
      </c>
      <c r="O193">
        <v>5.9114058319822487</v>
      </c>
      <c r="P193">
        <v>5.3422992937124532</v>
      </c>
      <c r="Q193">
        <v>3.408508588050438</v>
      </c>
      <c r="R193">
        <v>0.83783672601866244</v>
      </c>
      <c r="S193">
        <v>0.59429816675416902</v>
      </c>
      <c r="T193">
        <v>0.71019342477213387</v>
      </c>
      <c r="U193">
        <v>0.51630237455522476</v>
      </c>
      <c r="V193">
        <v>0.34654507959955227</v>
      </c>
      <c r="W193">
        <v>0.2678520411999098</v>
      </c>
      <c r="X193">
        <v>0.31894073000000001</v>
      </c>
      <c r="Y193">
        <v>0.25983097999999999</v>
      </c>
      <c r="Z193">
        <v>2.131834</v>
      </c>
    </row>
    <row r="194" spans="1:26" x14ac:dyDescent="0.2">
      <c r="A194" t="s">
        <v>16</v>
      </c>
      <c r="B194" t="s">
        <v>269</v>
      </c>
      <c r="C194">
        <v>2.8030070205953442E-3</v>
      </c>
      <c r="D194">
        <v>1.08939225459041E-3</v>
      </c>
      <c r="E194">
        <v>7.8342225896144905E-4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9.2970974357941465</v>
      </c>
      <c r="P194">
        <v>8.5441206700617141</v>
      </c>
      <c r="Q194">
        <v>5.7019693009107586</v>
      </c>
      <c r="R194">
        <v>7.7187305026293535E-2</v>
      </c>
      <c r="S194">
        <v>8.9389613285098896E-2</v>
      </c>
      <c r="T194">
        <v>4.09720488723073E-2</v>
      </c>
      <c r="U194">
        <v>0</v>
      </c>
      <c r="V194">
        <v>0</v>
      </c>
      <c r="W194">
        <v>2.1148785805578569E-2</v>
      </c>
      <c r="X194">
        <v>0</v>
      </c>
      <c r="Y194">
        <v>0</v>
      </c>
      <c r="Z194">
        <v>0</v>
      </c>
    </row>
    <row r="195" spans="1:26" x14ac:dyDescent="0.2">
      <c r="A195" t="s">
        <v>16</v>
      </c>
      <c r="B195" t="s">
        <v>266</v>
      </c>
      <c r="C195">
        <v>0</v>
      </c>
      <c r="D195">
        <v>1.5494205900780599E-3</v>
      </c>
      <c r="E195">
        <v>0</v>
      </c>
      <c r="F195">
        <v>0</v>
      </c>
      <c r="G195">
        <v>0</v>
      </c>
      <c r="H195">
        <v>0</v>
      </c>
      <c r="I195">
        <v>2.1356617211580999E-3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9.1844757963002106</v>
      </c>
      <c r="P195">
        <v>7.3929572930686041</v>
      </c>
      <c r="Q195">
        <v>6.0611141274058928</v>
      </c>
      <c r="R195">
        <v>6.7136089075987504E-2</v>
      </c>
      <c r="S195">
        <v>2.79194206108902E-2</v>
      </c>
      <c r="T195">
        <v>1.0855265377168201E-2</v>
      </c>
      <c r="U195">
        <v>1.2333610765097199E-2</v>
      </c>
      <c r="V195">
        <v>2.111198051876826E-2</v>
      </c>
      <c r="W195">
        <v>6.0386437109991697E-2</v>
      </c>
      <c r="X195">
        <v>0</v>
      </c>
      <c r="Y195">
        <v>0</v>
      </c>
      <c r="Z195">
        <v>0</v>
      </c>
    </row>
    <row r="196" spans="1:26" x14ac:dyDescent="0.2">
      <c r="A196" t="s">
        <v>16</v>
      </c>
      <c r="B196" t="s">
        <v>40</v>
      </c>
      <c r="C196">
        <v>0.55092165747951705</v>
      </c>
      <c r="D196">
        <v>0.68172812607598632</v>
      </c>
      <c r="E196">
        <v>0.57383144209814418</v>
      </c>
      <c r="F196">
        <v>0.10715949549999999</v>
      </c>
      <c r="G196">
        <v>0.26177717119999999</v>
      </c>
      <c r="H196">
        <v>0.21702654699999999</v>
      </c>
      <c r="I196">
        <v>0.31514903766085323</v>
      </c>
      <c r="J196">
        <v>0.4444904736404261</v>
      </c>
      <c r="K196">
        <v>0.26688173779124669</v>
      </c>
      <c r="L196">
        <v>0.1804798355156999</v>
      </c>
      <c r="M196">
        <v>0.16836401523526939</v>
      </c>
      <c r="N196">
        <v>9.6361122811279787E-2</v>
      </c>
      <c r="O196">
        <v>1.427006233447127</v>
      </c>
      <c r="P196">
        <v>1.196593064341593</v>
      </c>
      <c r="Q196">
        <v>1.130012692408646</v>
      </c>
      <c r="R196">
        <v>0.71109953172029428</v>
      </c>
      <c r="S196">
        <v>0.80987895830786194</v>
      </c>
      <c r="T196">
        <v>0.59374051260600613</v>
      </c>
      <c r="U196">
        <v>0.4268445953871845</v>
      </c>
      <c r="V196">
        <v>0.64469421632650015</v>
      </c>
      <c r="W196">
        <v>0.47645289827832532</v>
      </c>
      <c r="X196">
        <v>0.47889712000000001</v>
      </c>
      <c r="Y196">
        <v>1.4550274599999999</v>
      </c>
      <c r="Z196">
        <v>1.8465196020000001</v>
      </c>
    </row>
    <row r="197" spans="1:26" x14ac:dyDescent="0.2">
      <c r="A197" t="s">
        <v>16</v>
      </c>
      <c r="B197" t="s">
        <v>31</v>
      </c>
      <c r="C197">
        <v>0.2398728838495793</v>
      </c>
      <c r="D197">
        <v>0.2362344281819567</v>
      </c>
      <c r="E197">
        <v>0.37267603516945952</v>
      </c>
      <c r="F197">
        <v>2.3287882999999999E-2</v>
      </c>
      <c r="G197">
        <v>6.2812286999999996E-3</v>
      </c>
      <c r="H197">
        <v>4.6496112000000013E-2</v>
      </c>
      <c r="I197">
        <v>0</v>
      </c>
      <c r="J197">
        <v>0</v>
      </c>
      <c r="K197">
        <v>0</v>
      </c>
      <c r="L197">
        <v>1.2450004400590699E-3</v>
      </c>
      <c r="M197">
        <v>0</v>
      </c>
      <c r="N197">
        <v>0</v>
      </c>
      <c r="O197">
        <v>0.19167262486195449</v>
      </c>
      <c r="P197">
        <v>0.21899180458214221</v>
      </c>
      <c r="Q197">
        <v>0.25349940133539972</v>
      </c>
      <c r="R197">
        <v>1.1047835834710289</v>
      </c>
      <c r="S197">
        <v>1.604000201376554</v>
      </c>
      <c r="T197">
        <v>1.623823563144722</v>
      </c>
      <c r="U197">
        <v>0.93892404886522962</v>
      </c>
      <c r="V197">
        <v>1.045558586294397</v>
      </c>
      <c r="W197">
        <v>1.1405758965491319</v>
      </c>
      <c r="X197">
        <v>0</v>
      </c>
      <c r="Y197">
        <v>0.98335236000000004</v>
      </c>
      <c r="Z197">
        <v>0.13138828</v>
      </c>
    </row>
    <row r="198" spans="1:26" x14ac:dyDescent="0.2">
      <c r="A198" t="s">
        <v>16</v>
      </c>
      <c r="B198" t="s">
        <v>262</v>
      </c>
      <c r="C198">
        <v>7.4205578550675347E-2</v>
      </c>
      <c r="D198">
        <v>0.1514227011283395</v>
      </c>
      <c r="E198">
        <v>0.14878447433681519</v>
      </c>
      <c r="F198">
        <v>9.9696752999999999E-2</v>
      </c>
      <c r="G198">
        <v>8.9893690999999998E-2</v>
      </c>
      <c r="H198">
        <v>4.5312344999999997E-2</v>
      </c>
      <c r="I198">
        <v>9.6992706866624409E-2</v>
      </c>
      <c r="J198">
        <v>0.30534112686207732</v>
      </c>
      <c r="K198">
        <v>0.132021378773577</v>
      </c>
      <c r="L198">
        <v>5.532887080843734E-2</v>
      </c>
      <c r="M198">
        <v>7.4954637474049346E-2</v>
      </c>
      <c r="N198">
        <v>5.971619425126324E-2</v>
      </c>
      <c r="O198">
        <v>2.4052177007072668</v>
      </c>
      <c r="P198">
        <v>2.4341515822625199</v>
      </c>
      <c r="Q198">
        <v>1.9518227808959441</v>
      </c>
      <c r="R198">
        <v>0.4613069323222701</v>
      </c>
      <c r="S198">
        <v>0.47338593097099502</v>
      </c>
      <c r="T198">
        <v>0.20548767735101831</v>
      </c>
      <c r="U198">
        <v>0.19946040452902711</v>
      </c>
      <c r="V198">
        <v>0.103834087767922</v>
      </c>
      <c r="W198">
        <v>0.1446056687467108</v>
      </c>
      <c r="X198">
        <v>0</v>
      </c>
      <c r="Y198">
        <v>0.101051696</v>
      </c>
      <c r="Z198">
        <v>0.18776667</v>
      </c>
    </row>
    <row r="199" spans="1:26" x14ac:dyDescent="0.2">
      <c r="A199" t="s">
        <v>16</v>
      </c>
      <c r="B199" t="s">
        <v>270</v>
      </c>
      <c r="C199">
        <v>7.9687353555960901E-3</v>
      </c>
      <c r="D199">
        <v>1.480839678713948E-2</v>
      </c>
      <c r="E199">
        <v>9.6697227023371142E-3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3.9421803302350682</v>
      </c>
      <c r="P199">
        <v>3.221241375030544</v>
      </c>
      <c r="Q199">
        <v>2.4111045991104549</v>
      </c>
      <c r="R199">
        <v>6.9247804296106398E-3</v>
      </c>
      <c r="S199">
        <v>2.2359989355810829E-2</v>
      </c>
      <c r="T199">
        <v>2.4969134344872281E-2</v>
      </c>
      <c r="U199">
        <v>4.1056177139250243E-2</v>
      </c>
      <c r="V199">
        <v>5.7003078678142929E-2</v>
      </c>
      <c r="W199">
        <v>4.2357717464852299E-2</v>
      </c>
      <c r="X199">
        <v>0</v>
      </c>
      <c r="Y199">
        <v>0</v>
      </c>
      <c r="Z199">
        <v>0</v>
      </c>
    </row>
    <row r="200" spans="1:26" x14ac:dyDescent="0.2">
      <c r="A200" t="s">
        <v>16</v>
      </c>
      <c r="B200" t="s">
        <v>299</v>
      </c>
      <c r="C200">
        <v>16.449239635303929</v>
      </c>
      <c r="D200">
        <v>16.609746391740941</v>
      </c>
      <c r="E200">
        <v>16.762194709551359</v>
      </c>
      <c r="F200">
        <v>2.9213761709999999</v>
      </c>
      <c r="G200">
        <v>3.8443229290000001</v>
      </c>
      <c r="H200">
        <v>3.6042991941999998</v>
      </c>
      <c r="I200">
        <v>8.430732154355443</v>
      </c>
      <c r="J200">
        <v>8.1622596518171981</v>
      </c>
      <c r="K200">
        <v>6.9301029195025423</v>
      </c>
      <c r="L200">
        <v>2.449281970291123</v>
      </c>
      <c r="M200">
        <v>2.5187330670229708</v>
      </c>
      <c r="N200">
        <v>1.880488387784232</v>
      </c>
      <c r="O200">
        <v>17.276631454571699</v>
      </c>
      <c r="P200">
        <v>15.1797833430944</v>
      </c>
      <c r="Q200">
        <v>11.46273357807269</v>
      </c>
      <c r="R200">
        <v>9.0222827093032034</v>
      </c>
      <c r="S200">
        <v>8.3657501636184506</v>
      </c>
      <c r="T200">
        <v>7.3791044574728586</v>
      </c>
      <c r="U200">
        <v>7.3203219698027624</v>
      </c>
      <c r="V200">
        <v>6.2261109932941849</v>
      </c>
      <c r="W200">
        <v>5.6052026163446369</v>
      </c>
      <c r="X200">
        <v>1.6942649350000001</v>
      </c>
      <c r="Y200">
        <v>4.63074691</v>
      </c>
      <c r="Z200">
        <v>7.3204521720000004</v>
      </c>
    </row>
    <row r="201" spans="1:26" x14ac:dyDescent="0.2">
      <c r="A201" t="s">
        <v>17</v>
      </c>
      <c r="B201" t="s">
        <v>40</v>
      </c>
      <c r="C201">
        <v>4.725834962608408</v>
      </c>
      <c r="D201">
        <v>4.3492348853880349</v>
      </c>
      <c r="E201">
        <v>4.6648737506575513</v>
      </c>
      <c r="F201">
        <v>23.814512304099999</v>
      </c>
      <c r="G201">
        <v>28.458475389</v>
      </c>
      <c r="H201">
        <v>33.793172791000003</v>
      </c>
      <c r="I201">
        <v>23.75158638341982</v>
      </c>
      <c r="J201">
        <v>31.572489247692111</v>
      </c>
      <c r="K201">
        <v>28.54239426532202</v>
      </c>
      <c r="L201">
        <v>0.8916605139889886</v>
      </c>
      <c r="M201">
        <v>0.88665348020266621</v>
      </c>
      <c r="N201">
        <v>0.68143088589276568</v>
      </c>
      <c r="O201">
        <v>14.180075123611569</v>
      </c>
      <c r="P201">
        <v>13.55271945917224</v>
      </c>
      <c r="Q201">
        <v>11.769764021875529</v>
      </c>
      <c r="R201">
        <v>2.3020301262229772</v>
      </c>
      <c r="S201">
        <v>1.771790021791819</v>
      </c>
      <c r="T201">
        <v>2.1057663115710779</v>
      </c>
      <c r="U201">
        <v>1.1579070845645529</v>
      </c>
      <c r="V201">
        <v>1.245628788931384</v>
      </c>
      <c r="W201">
        <v>1.241823923013307</v>
      </c>
      <c r="X201">
        <v>8.4010286749999992</v>
      </c>
      <c r="Y201">
        <v>5.3390698399999996</v>
      </c>
      <c r="Z201">
        <v>9.2270890600000008</v>
      </c>
    </row>
    <row r="202" spans="1:26" x14ac:dyDescent="0.2">
      <c r="A202" t="s">
        <v>17</v>
      </c>
      <c r="B202" t="s">
        <v>260</v>
      </c>
      <c r="C202">
        <v>0.49525603049741401</v>
      </c>
      <c r="D202">
        <v>0.57490277315240745</v>
      </c>
      <c r="E202">
        <v>0.57126324490869451</v>
      </c>
      <c r="F202">
        <v>2.8381882300000001E-2</v>
      </c>
      <c r="G202">
        <v>2.2365555499999999E-2</v>
      </c>
      <c r="H202">
        <v>0.10870060049999999</v>
      </c>
      <c r="I202">
        <v>0</v>
      </c>
      <c r="J202">
        <v>0</v>
      </c>
      <c r="K202">
        <v>0</v>
      </c>
      <c r="L202">
        <v>0</v>
      </c>
      <c r="M202">
        <v>7.7346440644135005E-4</v>
      </c>
      <c r="N202">
        <v>0</v>
      </c>
      <c r="O202">
        <v>0.47141912463201868</v>
      </c>
      <c r="P202">
        <v>0.61013392701307456</v>
      </c>
      <c r="Q202">
        <v>1.268996364865399</v>
      </c>
      <c r="R202">
        <v>7.0366327740944659</v>
      </c>
      <c r="S202">
        <v>9.6007206403774354</v>
      </c>
      <c r="T202">
        <v>10.48333254623102</v>
      </c>
      <c r="U202">
        <v>11.51173871513716</v>
      </c>
      <c r="V202">
        <v>12.909870051993829</v>
      </c>
      <c r="W202">
        <v>12.66004811668296</v>
      </c>
      <c r="X202">
        <v>39.177548424999998</v>
      </c>
      <c r="Y202">
        <v>46.072955907999997</v>
      </c>
      <c r="Z202">
        <v>47.757276050000002</v>
      </c>
    </row>
    <row r="203" spans="1:26" x14ac:dyDescent="0.2">
      <c r="A203" t="s">
        <v>17</v>
      </c>
      <c r="B203" t="s">
        <v>32</v>
      </c>
      <c r="C203">
        <v>0.41683722288700992</v>
      </c>
      <c r="D203">
        <v>0.38830624904748712</v>
      </c>
      <c r="E203">
        <v>0.30759186894115881</v>
      </c>
      <c r="F203">
        <v>7.6521861999999996E-2</v>
      </c>
      <c r="G203">
        <v>5.0738889500000002E-2</v>
      </c>
      <c r="H203">
        <v>0.180310041</v>
      </c>
      <c r="I203">
        <v>0</v>
      </c>
      <c r="J203">
        <v>0</v>
      </c>
      <c r="K203">
        <v>0</v>
      </c>
      <c r="L203">
        <v>0</v>
      </c>
      <c r="M203">
        <v>1.5288612349791701E-3</v>
      </c>
      <c r="N203">
        <v>0</v>
      </c>
      <c r="O203">
        <v>8.9868617597991367</v>
      </c>
      <c r="P203">
        <v>12.383454797208969</v>
      </c>
      <c r="Q203">
        <v>12.425202880781249</v>
      </c>
      <c r="R203">
        <v>8.068041109884609</v>
      </c>
      <c r="S203">
        <v>7.1542400552347063</v>
      </c>
      <c r="T203">
        <v>7.8070339960734776</v>
      </c>
      <c r="U203">
        <v>3.5734291124604098</v>
      </c>
      <c r="V203">
        <v>3.8815915522826838</v>
      </c>
      <c r="W203">
        <v>4.0366588978272322</v>
      </c>
      <c r="X203">
        <v>19.589462449999999</v>
      </c>
      <c r="Y203">
        <v>29.227599829999999</v>
      </c>
      <c r="Z203">
        <v>20.407434376000001</v>
      </c>
    </row>
    <row r="204" spans="1:26" x14ac:dyDescent="0.2">
      <c r="A204" t="s">
        <v>17</v>
      </c>
      <c r="B204" t="s">
        <v>214</v>
      </c>
      <c r="C204">
        <v>2.8187570429365731</v>
      </c>
      <c r="D204">
        <v>2.5411937029740939</v>
      </c>
      <c r="E204">
        <v>2.4015292703088571</v>
      </c>
      <c r="F204">
        <v>10.44582655</v>
      </c>
      <c r="G204">
        <v>10.178241659999999</v>
      </c>
      <c r="H204">
        <v>13.434090599999999</v>
      </c>
      <c r="I204">
        <v>26.13480674398863</v>
      </c>
      <c r="J204">
        <v>30.722700757460931</v>
      </c>
      <c r="K204">
        <v>30.226533649626621</v>
      </c>
      <c r="L204">
        <v>0.38329144622967171</v>
      </c>
      <c r="M204">
        <v>0.39883575969433033</v>
      </c>
      <c r="N204">
        <v>0.24246813556233651</v>
      </c>
      <c r="O204">
        <v>0</v>
      </c>
      <c r="P204">
        <v>0</v>
      </c>
      <c r="Q204">
        <v>0</v>
      </c>
      <c r="R204">
        <v>2.1048590018717499E-3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">
      <c r="A205" t="s">
        <v>17</v>
      </c>
      <c r="B205" t="s">
        <v>182</v>
      </c>
      <c r="C205">
        <v>1.6567536993807661</v>
      </c>
      <c r="D205">
        <v>1.529523659003291</v>
      </c>
      <c r="E205">
        <v>1.69375140903284</v>
      </c>
      <c r="F205">
        <v>1.9427872100000001</v>
      </c>
      <c r="G205">
        <v>2.5308816339</v>
      </c>
      <c r="H205">
        <v>3.041652655</v>
      </c>
      <c r="I205">
        <v>3.7095321938981338E-2</v>
      </c>
      <c r="J205">
        <v>0.2464324566455493</v>
      </c>
      <c r="K205">
        <v>0.13020703959461469</v>
      </c>
      <c r="L205">
        <v>16.924163765536541</v>
      </c>
      <c r="M205">
        <v>22.006805454343649</v>
      </c>
      <c r="N205">
        <v>18.67333950398033</v>
      </c>
      <c r="O205">
        <v>6.4684182082448E-3</v>
      </c>
      <c r="P205">
        <v>2.7328402378339001E-2</v>
      </c>
      <c r="Q205">
        <v>1.175036585058914E-2</v>
      </c>
      <c r="R205">
        <v>3.9286130556107801E-2</v>
      </c>
      <c r="S205">
        <v>5.7083060635918358E-2</v>
      </c>
      <c r="T205">
        <v>8.8785141307354508E-3</v>
      </c>
      <c r="U205">
        <v>0</v>
      </c>
      <c r="V205">
        <v>0</v>
      </c>
      <c r="W205">
        <v>0</v>
      </c>
      <c r="X205">
        <v>0</v>
      </c>
      <c r="Y205">
        <v>0.45725860000000002</v>
      </c>
      <c r="Z205">
        <v>8.959346E-2</v>
      </c>
    </row>
    <row r="206" spans="1:26" x14ac:dyDescent="0.2">
      <c r="A206" t="s">
        <v>17</v>
      </c>
      <c r="B206" t="s">
        <v>33</v>
      </c>
      <c r="C206">
        <v>0.48146549751195011</v>
      </c>
      <c r="D206">
        <v>0.51827413173179548</v>
      </c>
      <c r="E206">
        <v>0.42938115277673378</v>
      </c>
      <c r="F206">
        <v>2.9214324309999999</v>
      </c>
      <c r="G206">
        <v>3.896098056</v>
      </c>
      <c r="H206">
        <v>4.5513931904999998</v>
      </c>
      <c r="I206">
        <v>2.9936455603084009</v>
      </c>
      <c r="J206">
        <v>3.1736510358253112</v>
      </c>
      <c r="K206">
        <v>3.3827562223657388</v>
      </c>
      <c r="L206">
        <v>7.9531508229104458E-2</v>
      </c>
      <c r="M206">
        <v>7.0282878044709549E-2</v>
      </c>
      <c r="N206">
        <v>3.648119955265014E-2</v>
      </c>
      <c r="O206">
        <v>10.9555434713285</v>
      </c>
      <c r="P206">
        <v>9.5975596039204625</v>
      </c>
      <c r="Q206">
        <v>6.6946163332961834</v>
      </c>
      <c r="R206">
        <v>0.74672444173243002</v>
      </c>
      <c r="S206">
        <v>0.6971080888645953</v>
      </c>
      <c r="T206">
        <v>0.66872887473603948</v>
      </c>
      <c r="U206">
        <v>0.4523217687112826</v>
      </c>
      <c r="V206">
        <v>0.38095168449764932</v>
      </c>
      <c r="W206">
        <v>0.36307044583114051</v>
      </c>
      <c r="X206">
        <v>3.529894165</v>
      </c>
      <c r="Y206">
        <v>1.2025948500000001</v>
      </c>
      <c r="Z206">
        <v>2.9641769400000002</v>
      </c>
    </row>
    <row r="207" spans="1:26" x14ac:dyDescent="0.2">
      <c r="A207" t="s">
        <v>17</v>
      </c>
      <c r="B207" t="s">
        <v>195</v>
      </c>
      <c r="C207">
        <v>0.87561274910471509</v>
      </c>
      <c r="D207">
        <v>0.87138962424434008</v>
      </c>
      <c r="E207">
        <v>1.031924926730293</v>
      </c>
      <c r="F207">
        <v>0.53244588999999998</v>
      </c>
      <c r="G207">
        <v>0.71475979999999995</v>
      </c>
      <c r="H207">
        <v>0.58445448999999994</v>
      </c>
      <c r="I207">
        <v>20.07015800156211</v>
      </c>
      <c r="J207">
        <v>13.984577132021849</v>
      </c>
      <c r="K207">
        <v>17.99722415420538</v>
      </c>
      <c r="L207">
        <v>0.12101868784165699</v>
      </c>
      <c r="M207">
        <v>0.11191487933869219</v>
      </c>
      <c r="N207">
        <v>5.5179316272946859E-2</v>
      </c>
      <c r="O207">
        <v>0</v>
      </c>
      <c r="P207">
        <v>1.51264219806304E-3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">
      <c r="A208" t="s">
        <v>17</v>
      </c>
      <c r="B208" t="s">
        <v>44</v>
      </c>
      <c r="C208">
        <v>6.0650445843768323E-2</v>
      </c>
      <c r="D208">
        <v>3.134119426742598E-2</v>
      </c>
      <c r="E208">
        <v>4.9032464116630363E-2</v>
      </c>
      <c r="F208">
        <v>1.1188811999999999E-2</v>
      </c>
      <c r="G208">
        <v>0</v>
      </c>
      <c r="H208">
        <v>5.8309445E-3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0.29573796024960619</v>
      </c>
      <c r="P208">
        <v>0.45290446694876851</v>
      </c>
      <c r="Q208">
        <v>0.91945534105904214</v>
      </c>
      <c r="R208">
        <v>3.016962283943426</v>
      </c>
      <c r="S208">
        <v>2.0322562085110358</v>
      </c>
      <c r="T208">
        <v>2.1429400295500698</v>
      </c>
      <c r="U208">
        <v>1.48748484831558</v>
      </c>
      <c r="V208">
        <v>1.7824230147644931</v>
      </c>
      <c r="W208">
        <v>2.0092098338470792</v>
      </c>
      <c r="X208">
        <v>8.6018474999999999</v>
      </c>
      <c r="Y208">
        <v>17.604168850000001</v>
      </c>
      <c r="Z208">
        <v>11.2086579</v>
      </c>
    </row>
    <row r="209" spans="1:28" x14ac:dyDescent="0.2">
      <c r="A209" t="s">
        <v>17</v>
      </c>
      <c r="B209" t="s">
        <v>216</v>
      </c>
      <c r="C209">
        <v>0.25230332633671387</v>
      </c>
      <c r="D209">
        <v>0.1550182600204332</v>
      </c>
      <c r="E209">
        <v>0.20127376568723221</v>
      </c>
      <c r="F209">
        <v>0.183541238</v>
      </c>
      <c r="G209">
        <v>0.245919587</v>
      </c>
      <c r="H209">
        <v>0.39282382799999999</v>
      </c>
      <c r="I209">
        <v>2.13744292359443E-4</v>
      </c>
      <c r="J209">
        <v>0</v>
      </c>
      <c r="K209">
        <v>6.3755444052527894E-4</v>
      </c>
      <c r="L209">
        <v>0</v>
      </c>
      <c r="M209">
        <v>0</v>
      </c>
      <c r="N209">
        <v>0</v>
      </c>
      <c r="O209">
        <v>0.40697998382056289</v>
      </c>
      <c r="P209">
        <v>0.65829024888781951</v>
      </c>
      <c r="Q209">
        <v>0.54782664974345463</v>
      </c>
      <c r="R209">
        <v>1.2818797007946361</v>
      </c>
      <c r="S209">
        <v>1.2635731392446929</v>
      </c>
      <c r="T209">
        <v>0.96047172166262995</v>
      </c>
      <c r="U209">
        <v>0.53312702837065651</v>
      </c>
      <c r="V209">
        <v>0.78000248634339409</v>
      </c>
      <c r="W209">
        <v>0.96177730997669375</v>
      </c>
      <c r="X209">
        <v>7.8583809699999998</v>
      </c>
      <c r="Y209">
        <v>7.2130098299999998</v>
      </c>
      <c r="Z209">
        <v>8.8552502400000002</v>
      </c>
    </row>
    <row r="210" spans="1:28" x14ac:dyDescent="0.2">
      <c r="A210" t="s">
        <v>17</v>
      </c>
      <c r="B210" t="s">
        <v>37</v>
      </c>
      <c r="C210">
        <v>0.1477398303810214</v>
      </c>
      <c r="D210">
        <v>7.0762518133018731E-2</v>
      </c>
      <c r="E210">
        <v>0.1032576839257533</v>
      </c>
      <c r="F210">
        <v>2.2377623999999999E-2</v>
      </c>
      <c r="G210">
        <v>6.0653797000000002E-2</v>
      </c>
      <c r="H210">
        <v>4.6647565000000002E-2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0.94007901741807032</v>
      </c>
      <c r="P210">
        <v>1.168070062483759</v>
      </c>
      <c r="Q210">
        <v>1.294988835714209</v>
      </c>
      <c r="R210">
        <v>1.7262243491734821</v>
      </c>
      <c r="S210">
        <v>1.411987658494134</v>
      </c>
      <c r="T210">
        <v>1.5441193337066439</v>
      </c>
      <c r="U210">
        <v>1.267172374499367</v>
      </c>
      <c r="V210">
        <v>1.173941658683554</v>
      </c>
      <c r="W210">
        <v>1.251800616495002</v>
      </c>
      <c r="X210">
        <v>5.5371595999999998</v>
      </c>
      <c r="Y210">
        <v>6.1573388299999996</v>
      </c>
      <c r="Z210">
        <v>7.5485424000000014</v>
      </c>
    </row>
    <row r="211" spans="1:28" x14ac:dyDescent="0.2">
      <c r="A211" t="s">
        <v>17</v>
      </c>
      <c r="B211" t="s">
        <v>299</v>
      </c>
      <c r="C211">
        <v>27.125123966581882</v>
      </c>
      <c r="D211">
        <v>27.588367774309528</v>
      </c>
      <c r="E211">
        <v>27.017949199669339</v>
      </c>
      <c r="F211">
        <v>21.770270478</v>
      </c>
      <c r="G211">
        <v>24.443763355400002</v>
      </c>
      <c r="H211">
        <v>29.665986701400001</v>
      </c>
      <c r="I211">
        <v>12.11101878545149</v>
      </c>
      <c r="J211">
        <v>14.93331379899163</v>
      </c>
      <c r="K211">
        <v>11.385147051517709</v>
      </c>
      <c r="L211">
        <v>13.168775486754219</v>
      </c>
      <c r="M211">
        <v>15.64868283055279</v>
      </c>
      <c r="N211">
        <v>12.979914147902759</v>
      </c>
      <c r="O211">
        <v>46.536261073012227</v>
      </c>
      <c r="P211">
        <v>38.681829288631519</v>
      </c>
      <c r="Q211">
        <v>28.939098012002059</v>
      </c>
      <c r="R211">
        <v>11.907708446175249</v>
      </c>
      <c r="S211">
        <v>10.70653682673705</v>
      </c>
      <c r="T211">
        <v>11.49526726621375</v>
      </c>
      <c r="U211">
        <v>10.52478731783067</v>
      </c>
      <c r="V211">
        <v>8.0323663407606727</v>
      </c>
      <c r="W211">
        <v>8.9331027742275033</v>
      </c>
      <c r="X211">
        <v>20.338433309999999</v>
      </c>
      <c r="Y211">
        <v>23.726052706000001</v>
      </c>
      <c r="Z211">
        <v>28.245229040000002</v>
      </c>
    </row>
    <row r="212" spans="1:28" x14ac:dyDescent="0.2">
      <c r="A212" t="s">
        <v>18</v>
      </c>
      <c r="B212" t="s">
        <v>269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9.2441953750977603</v>
      </c>
      <c r="P212">
        <v>8.6481090033239312</v>
      </c>
      <c r="Q212">
        <v>4.8470331045343897</v>
      </c>
      <c r="R212">
        <v>0.1228360061157467</v>
      </c>
      <c r="S212">
        <v>1.64193810547816E-2</v>
      </c>
      <c r="T212">
        <v>4.7779359478623502E-2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8" x14ac:dyDescent="0.2">
      <c r="A213" t="s">
        <v>18</v>
      </c>
      <c r="B213" t="s">
        <v>270</v>
      </c>
      <c r="C213">
        <v>5.8379269082135088E-2</v>
      </c>
      <c r="D213">
        <v>2.2476476465176129E-2</v>
      </c>
      <c r="E213">
        <v>0</v>
      </c>
      <c r="F213">
        <v>0</v>
      </c>
      <c r="G213">
        <v>0</v>
      </c>
      <c r="H213">
        <v>2.410911E-2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6.1034409836560837</v>
      </c>
      <c r="P213">
        <v>4.4871444806013301</v>
      </c>
      <c r="Q213">
        <v>3.7833589219003412</v>
      </c>
      <c r="R213">
        <v>9.5061465996585631E-2</v>
      </c>
      <c r="S213">
        <v>0</v>
      </c>
      <c r="T213">
        <v>0.1303711299865743</v>
      </c>
      <c r="U213">
        <v>6.3304715036615403E-2</v>
      </c>
      <c r="V213">
        <v>0.1018888897014195</v>
      </c>
      <c r="W213">
        <v>0</v>
      </c>
      <c r="X213">
        <v>0</v>
      </c>
      <c r="Y213">
        <v>0</v>
      </c>
      <c r="Z213">
        <v>0</v>
      </c>
    </row>
    <row r="214" spans="1:28" x14ac:dyDescent="0.2">
      <c r="A214" t="s">
        <v>18</v>
      </c>
      <c r="B214" t="s">
        <v>33</v>
      </c>
      <c r="C214">
        <v>0.43143421978975238</v>
      </c>
      <c r="D214">
        <v>0.54369140283242001</v>
      </c>
      <c r="E214">
        <v>0.5525663184789964</v>
      </c>
      <c r="F214">
        <v>0.70821469000000004</v>
      </c>
      <c r="G214">
        <v>0.73733710399999997</v>
      </c>
      <c r="H214">
        <v>0.36244614000000003</v>
      </c>
      <c r="I214">
        <v>0</v>
      </c>
      <c r="J214">
        <v>9.2282924627752898E-4</v>
      </c>
      <c r="K214">
        <v>0</v>
      </c>
      <c r="L214">
        <v>0</v>
      </c>
      <c r="M214">
        <v>0</v>
      </c>
      <c r="N214">
        <v>0</v>
      </c>
      <c r="O214">
        <v>1.155735476269599</v>
      </c>
      <c r="P214">
        <v>1.8042679781403801</v>
      </c>
      <c r="Q214">
        <v>1.3793484084151031</v>
      </c>
      <c r="R214">
        <v>0.19220722234030149</v>
      </c>
      <c r="S214">
        <v>0.14688981106564161</v>
      </c>
      <c r="T214">
        <v>8.1357144302840995E-2</v>
      </c>
      <c r="U214">
        <v>0.1122258033883914</v>
      </c>
      <c r="V214">
        <v>0.16572941271106509</v>
      </c>
      <c r="W214">
        <v>0.1490639801518682</v>
      </c>
      <c r="X214">
        <v>0.43370312</v>
      </c>
      <c r="Y214">
        <v>0</v>
      </c>
      <c r="Z214">
        <v>1.350428</v>
      </c>
    </row>
    <row r="215" spans="1:28" x14ac:dyDescent="0.2">
      <c r="A215" t="s">
        <v>18</v>
      </c>
      <c r="B215" t="s">
        <v>271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3.3175936275842601</v>
      </c>
      <c r="P215">
        <v>2.8854192927815898</v>
      </c>
      <c r="Q215">
        <v>2.55882913429144</v>
      </c>
      <c r="R215">
        <v>0</v>
      </c>
      <c r="S215">
        <v>0</v>
      </c>
      <c r="T215">
        <v>0</v>
      </c>
      <c r="U215">
        <v>1.2830753590320799E-2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8" x14ac:dyDescent="0.2">
      <c r="A216" t="s">
        <v>18</v>
      </c>
      <c r="B216" t="s">
        <v>182</v>
      </c>
      <c r="C216">
        <v>0.57890159614466674</v>
      </c>
      <c r="D216">
        <v>0.46066898844566878</v>
      </c>
      <c r="E216">
        <v>0.65987825956263613</v>
      </c>
      <c r="F216">
        <v>0.11988372899999999</v>
      </c>
      <c r="G216">
        <v>3.8472566999999999E-2</v>
      </c>
      <c r="H216">
        <v>1.4095264999999999E-2</v>
      </c>
      <c r="I216">
        <v>7.32252321574725E-3</v>
      </c>
      <c r="J216">
        <v>3.2982725579546852E-2</v>
      </c>
      <c r="K216">
        <v>3.2229618957722729E-2</v>
      </c>
      <c r="L216">
        <v>1.252978344204422</v>
      </c>
      <c r="M216">
        <v>1.400031661279374</v>
      </c>
      <c r="N216">
        <v>1.060099108865266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8" x14ac:dyDescent="0.2">
      <c r="A217" t="s">
        <v>18</v>
      </c>
      <c r="B217" t="s">
        <v>272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6.4844674694546096E-3</v>
      </c>
      <c r="J217">
        <v>2.7726977262699818E-3</v>
      </c>
      <c r="K217">
        <v>1.1201707321112199E-2</v>
      </c>
      <c r="L217">
        <v>5.9340742624121104E-3</v>
      </c>
      <c r="M217">
        <v>0</v>
      </c>
      <c r="N217">
        <v>0</v>
      </c>
      <c r="O217">
        <v>2.1161663460989759</v>
      </c>
      <c r="P217">
        <v>0.56414960419195825</v>
      </c>
      <c r="Q217">
        <v>0.61283119815618525</v>
      </c>
      <c r="R217">
        <v>1.0983661631917101E-2</v>
      </c>
      <c r="S217">
        <v>0</v>
      </c>
      <c r="T217">
        <v>0</v>
      </c>
      <c r="U217">
        <v>0</v>
      </c>
      <c r="V217">
        <v>1.5832157195404699E-2</v>
      </c>
      <c r="W217">
        <v>0</v>
      </c>
      <c r="X217">
        <v>0</v>
      </c>
      <c r="Y217">
        <v>0</v>
      </c>
      <c r="Z217">
        <v>0</v>
      </c>
    </row>
    <row r="218" spans="1:28" x14ac:dyDescent="0.2">
      <c r="A218" t="s">
        <v>18</v>
      </c>
      <c r="B218" t="s">
        <v>273</v>
      </c>
      <c r="C218">
        <v>0.51158801463840997</v>
      </c>
      <c r="D218">
        <v>0.45309122107889338</v>
      </c>
      <c r="E218">
        <v>0.50768956188472192</v>
      </c>
      <c r="F218">
        <v>5.1848467000000002E-2</v>
      </c>
      <c r="G218">
        <v>0.12775789000000001</v>
      </c>
      <c r="H218">
        <v>2.7020394999999999E-2</v>
      </c>
      <c r="I218">
        <v>5.0964654709454701E-2</v>
      </c>
      <c r="J218">
        <v>5.6537605291785802E-2</v>
      </c>
      <c r="K218">
        <v>3.7403538841141303E-2</v>
      </c>
      <c r="L218">
        <v>0.41471105232791228</v>
      </c>
      <c r="M218">
        <v>0.441811644639995</v>
      </c>
      <c r="N218">
        <v>0.31849121078921361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8" x14ac:dyDescent="0.2">
      <c r="A219" t="s">
        <v>18</v>
      </c>
      <c r="B219" t="s">
        <v>181</v>
      </c>
      <c r="C219">
        <v>0.1436137866096476</v>
      </c>
      <c r="D219">
        <v>0.26282858158870598</v>
      </c>
      <c r="E219">
        <v>0.1618358758548136</v>
      </c>
      <c r="F219">
        <v>5.2845580000000003E-2</v>
      </c>
      <c r="G219">
        <v>0</v>
      </c>
      <c r="H219">
        <v>0</v>
      </c>
      <c r="I219">
        <v>0.20852715042343639</v>
      </c>
      <c r="J219">
        <v>0.66599306867668284</v>
      </c>
      <c r="K219">
        <v>0.33954327918260502</v>
      </c>
      <c r="L219">
        <v>0.16165569778699229</v>
      </c>
      <c r="M219">
        <v>0.17914691780026401</v>
      </c>
      <c r="N219">
        <v>0.18883764288326821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8"/>
      <c r="AB219" s="8"/>
    </row>
    <row r="220" spans="1:28" x14ac:dyDescent="0.2">
      <c r="A220" t="s">
        <v>18</v>
      </c>
      <c r="B220" t="s">
        <v>47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4.1974926013303798E-2</v>
      </c>
      <c r="J220">
        <v>9.7309649628005507E-2</v>
      </c>
      <c r="K220">
        <v>2.3690943414973398E-2</v>
      </c>
      <c r="L220">
        <v>8.5487585444801902E-3</v>
      </c>
      <c r="M220">
        <v>1.6335671507343601E-2</v>
      </c>
      <c r="N220">
        <v>0</v>
      </c>
      <c r="O220">
        <v>0.84147508131677851</v>
      </c>
      <c r="P220">
        <v>0.58484953088698999</v>
      </c>
      <c r="Q220">
        <v>0.40649865704968002</v>
      </c>
      <c r="R220">
        <v>0.18803864164604131</v>
      </c>
      <c r="S220">
        <v>4.8301604539602902E-2</v>
      </c>
      <c r="T220">
        <v>4.9607685716791597E-2</v>
      </c>
      <c r="U220">
        <v>0</v>
      </c>
      <c r="V220">
        <v>0</v>
      </c>
      <c r="W220">
        <v>3.7034809412826102E-2</v>
      </c>
      <c r="X220">
        <v>0</v>
      </c>
      <c r="Y220">
        <v>0</v>
      </c>
      <c r="Z220">
        <v>0</v>
      </c>
    </row>
    <row r="221" spans="1:28" x14ac:dyDescent="0.2">
      <c r="A221" t="s">
        <v>18</v>
      </c>
      <c r="B221" t="s">
        <v>196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1.57502458804534</v>
      </c>
      <c r="P221">
        <v>0.36626885469714199</v>
      </c>
      <c r="Q221">
        <v>0.23173533631287299</v>
      </c>
      <c r="R221">
        <v>0.100580721685533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8" x14ac:dyDescent="0.2">
      <c r="A222" t="s">
        <v>18</v>
      </c>
      <c r="B222" t="s">
        <v>299</v>
      </c>
      <c r="C222">
        <v>0.98008470050763619</v>
      </c>
      <c r="D222">
        <v>1.044978353267894</v>
      </c>
      <c r="E222">
        <v>0.95753738633801699</v>
      </c>
      <c r="F222">
        <v>0.17053467</v>
      </c>
      <c r="G222">
        <v>0.42591952199999999</v>
      </c>
      <c r="H222">
        <v>0.376137057</v>
      </c>
      <c r="I222">
        <v>0.81322667493144585</v>
      </c>
      <c r="J222">
        <v>0.84948368714067768</v>
      </c>
      <c r="K222">
        <v>0.5655345935383449</v>
      </c>
      <c r="L222">
        <v>4.0654270039800879</v>
      </c>
      <c r="M222">
        <v>5.5289713611683027</v>
      </c>
      <c r="N222">
        <v>4.2694160816215536</v>
      </c>
      <c r="O222">
        <v>2.9458928733270899</v>
      </c>
      <c r="P222">
        <v>2.5976682038731411</v>
      </c>
      <c r="Q222">
        <v>1.5455110941719199</v>
      </c>
      <c r="R222">
        <v>0.26395754629661378</v>
      </c>
      <c r="S222">
        <v>0.62343303870025801</v>
      </c>
      <c r="T222">
        <v>0.38728132610998323</v>
      </c>
      <c r="U222">
        <v>0.29554303078375388</v>
      </c>
      <c r="V222">
        <v>0.11451805158431271</v>
      </c>
      <c r="W222">
        <v>0.21756258927900171</v>
      </c>
      <c r="X222">
        <v>0</v>
      </c>
      <c r="Y222">
        <v>1.4813708000000001</v>
      </c>
      <c r="Z222">
        <v>1.4572694900000001</v>
      </c>
    </row>
    <row r="223" spans="1:28" x14ac:dyDescent="0.2">
      <c r="A223" t="s">
        <v>82</v>
      </c>
      <c r="B223" t="s">
        <v>183</v>
      </c>
      <c r="C223">
        <v>3.8766197391852102</v>
      </c>
      <c r="D223">
        <v>3.763678081766507</v>
      </c>
      <c r="E223">
        <v>3.8468137070714712</v>
      </c>
      <c r="F223">
        <v>0.61025028000000003</v>
      </c>
      <c r="G223">
        <v>0.49395773999999998</v>
      </c>
      <c r="H223">
        <v>0.84125859999999997</v>
      </c>
      <c r="I223">
        <v>0.95559195145867126</v>
      </c>
      <c r="J223">
        <v>0.91018749600051208</v>
      </c>
      <c r="K223">
        <v>1.0258685644261181</v>
      </c>
      <c r="L223">
        <v>0.15716159457847231</v>
      </c>
      <c r="M223">
        <v>0.13729208304547089</v>
      </c>
      <c r="N223">
        <v>0.1182466735943403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8" x14ac:dyDescent="0.2">
      <c r="A224" t="s">
        <v>82</v>
      </c>
      <c r="B224" t="s">
        <v>274</v>
      </c>
      <c r="C224">
        <v>0.66005802180939999</v>
      </c>
      <c r="D224">
        <v>0.69436338287339894</v>
      </c>
      <c r="E224">
        <v>0.64328548884046</v>
      </c>
      <c r="F224">
        <v>2.5257070999999999E-2</v>
      </c>
      <c r="G224">
        <v>7.5206611000000007E-2</v>
      </c>
      <c r="H224">
        <v>5.3759479999999998E-2</v>
      </c>
      <c r="I224">
        <v>4.6872342111989544E-3</v>
      </c>
      <c r="J224">
        <v>1.8961783418038299E-3</v>
      </c>
      <c r="K224">
        <v>0</v>
      </c>
      <c r="L224">
        <v>1.50903587948249E-3</v>
      </c>
      <c r="M224">
        <v>0</v>
      </c>
      <c r="N224">
        <v>6.5201115998040496E-3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1.37915239941237E-2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">
      <c r="A225" t="s">
        <v>82</v>
      </c>
      <c r="B225" t="s">
        <v>275</v>
      </c>
      <c r="C225">
        <v>0.32311521753819172</v>
      </c>
      <c r="D225">
        <v>0.15667492648013409</v>
      </c>
      <c r="E225">
        <v>0.1846847523859623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8.9081401148065203E-3</v>
      </c>
      <c r="M225">
        <v>2.1729273691971879E-2</v>
      </c>
      <c r="N225">
        <v>1.0053489210390461E-2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">
      <c r="A226" t="s">
        <v>82</v>
      </c>
      <c r="B226" t="s">
        <v>40</v>
      </c>
      <c r="C226">
        <v>0</v>
      </c>
      <c r="D226">
        <v>7.0725828756568786E-3</v>
      </c>
      <c r="E226">
        <v>1.5334034718569201E-2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7.7036468224856505E-2</v>
      </c>
      <c r="S226">
        <v>4.00739339628748E-2</v>
      </c>
      <c r="T226">
        <v>8.1107520425305099E-2</v>
      </c>
      <c r="U226">
        <v>0</v>
      </c>
      <c r="V226">
        <v>5.0948101238052712E-2</v>
      </c>
      <c r="W226">
        <v>7.4054582362228394E-2</v>
      </c>
      <c r="X226">
        <v>0</v>
      </c>
      <c r="Y226">
        <v>0.122207284</v>
      </c>
      <c r="Z226">
        <v>0</v>
      </c>
    </row>
    <row r="227" spans="1:26" x14ac:dyDescent="0.2">
      <c r="A227" t="s">
        <v>82</v>
      </c>
      <c r="B227" t="s">
        <v>213</v>
      </c>
      <c r="C227">
        <v>0.12192644613147979</v>
      </c>
      <c r="D227">
        <v>0.11074264942454121</v>
      </c>
      <c r="E227">
        <v>8.8866761854662996E-2</v>
      </c>
      <c r="F227">
        <v>1.7570136E-2</v>
      </c>
      <c r="G227">
        <v>0</v>
      </c>
      <c r="H227">
        <v>4.8762344999999999E-2</v>
      </c>
      <c r="I227">
        <v>1.078250894831574E-2</v>
      </c>
      <c r="J227">
        <v>2.558156766460214E-2</v>
      </c>
      <c r="K227">
        <v>2.0072614966797499E-2</v>
      </c>
      <c r="L227">
        <v>3.32794668439942E-3</v>
      </c>
      <c r="M227">
        <v>8.5803787824689504E-3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">
      <c r="A228" t="s">
        <v>82</v>
      </c>
      <c r="B228" t="s">
        <v>276</v>
      </c>
      <c r="C228">
        <v>0.116316072825871</v>
      </c>
      <c r="D228">
        <v>0.100105552513787</v>
      </c>
      <c r="E228">
        <v>4.5004508905087497E-2</v>
      </c>
      <c r="F228">
        <v>0</v>
      </c>
      <c r="G228">
        <v>2.6143499000000001E-2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3.4413814431506803E-2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x14ac:dyDescent="0.2">
      <c r="A229" t="s">
        <v>82</v>
      </c>
      <c r="B229" t="s">
        <v>277</v>
      </c>
      <c r="C229">
        <v>5.2254502575235499E-2</v>
      </c>
      <c r="D229">
        <v>2.6334505511873201E-2</v>
      </c>
      <c r="E229">
        <v>2.9683625159690401E-2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1.7266206397480899E-3</v>
      </c>
      <c r="M229">
        <v>5.3789760501349497E-3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">
      <c r="A230" t="s">
        <v>82</v>
      </c>
      <c r="B230" t="s">
        <v>43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2.0999417337738699E-3</v>
      </c>
      <c r="K230">
        <v>0</v>
      </c>
      <c r="L230">
        <v>1.5257214523905001E-2</v>
      </c>
      <c r="M230">
        <v>4.0171968927207397E-2</v>
      </c>
      <c r="N230">
        <v>1.41810446702907E-2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">
      <c r="A231" t="s">
        <v>19</v>
      </c>
      <c r="B231" t="s">
        <v>212</v>
      </c>
      <c r="C231">
        <v>2.212115267669736</v>
      </c>
      <c r="D231">
        <v>2.113285505438494</v>
      </c>
      <c r="E231">
        <v>2.0612778988502281</v>
      </c>
      <c r="F231">
        <v>1.81971638</v>
      </c>
      <c r="G231">
        <v>1.406807514</v>
      </c>
      <c r="H231">
        <v>1.281504545</v>
      </c>
      <c r="I231">
        <v>6.1821974160096202E-2</v>
      </c>
      <c r="J231">
        <v>0.1830687777227672</v>
      </c>
      <c r="K231">
        <v>0.12578245317700831</v>
      </c>
      <c r="L231">
        <v>8.5005830782620571</v>
      </c>
      <c r="M231">
        <v>7.5668349819281184</v>
      </c>
      <c r="N231">
        <v>8.1405243817579471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x14ac:dyDescent="0.2">
      <c r="A232" t="s">
        <v>19</v>
      </c>
      <c r="B232" t="s">
        <v>182</v>
      </c>
      <c r="C232">
        <v>0.67897722938231386</v>
      </c>
      <c r="D232">
        <v>0.85050208000541883</v>
      </c>
      <c r="E232">
        <v>0.80475689486736224</v>
      </c>
      <c r="F232">
        <v>1.5003615180000001</v>
      </c>
      <c r="G232">
        <v>1.3584194860000001</v>
      </c>
      <c r="H232">
        <v>2.0989080040000001</v>
      </c>
      <c r="I232">
        <v>1.50573947955046E-2</v>
      </c>
      <c r="J232">
        <v>9.4623677642945811E-2</v>
      </c>
      <c r="K232">
        <v>9.8216503552089052E-2</v>
      </c>
      <c r="L232">
        <v>4.2392069402204218</v>
      </c>
      <c r="M232">
        <v>4.1704116740643364</v>
      </c>
      <c r="N232">
        <v>5.1488283473009151</v>
      </c>
      <c r="O232">
        <v>0</v>
      </c>
      <c r="P232">
        <v>0</v>
      </c>
      <c r="Q232">
        <v>0</v>
      </c>
      <c r="R232">
        <v>2.4229875285390098E-2</v>
      </c>
      <c r="S232">
        <v>0</v>
      </c>
      <c r="T232">
        <v>2.8450375447805001E-2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x14ac:dyDescent="0.2">
      <c r="A233" t="s">
        <v>19</v>
      </c>
      <c r="B233" t="s">
        <v>33</v>
      </c>
      <c r="C233">
        <v>0.50192788468873806</v>
      </c>
      <c r="D233">
        <v>0.39891794562069971</v>
      </c>
      <c r="E233">
        <v>0.57454910949124538</v>
      </c>
      <c r="F233">
        <v>1.1987657789999999</v>
      </c>
      <c r="G233">
        <v>1.4216343789999999</v>
      </c>
      <c r="H233">
        <v>1.2223292589999999</v>
      </c>
      <c r="I233">
        <v>0.61015801937413872</v>
      </c>
      <c r="J233">
        <v>0.57294392633532343</v>
      </c>
      <c r="K233">
        <v>0.51319820491165291</v>
      </c>
      <c r="L233">
        <v>2.8511549105702139E-2</v>
      </c>
      <c r="M233">
        <v>1.3884503438432189E-2</v>
      </c>
      <c r="N233">
        <v>9.2929415632687189E-3</v>
      </c>
      <c r="O233">
        <v>3.129942364950371</v>
      </c>
      <c r="P233">
        <v>2.4755902213499699</v>
      </c>
      <c r="Q233">
        <v>2.246707344697775</v>
      </c>
      <c r="R233">
        <v>4.1569251232405298E-2</v>
      </c>
      <c r="S233">
        <v>0.238796631257956</v>
      </c>
      <c r="T233">
        <v>0.2355572347071645</v>
      </c>
      <c r="U233">
        <v>2.88733849840523E-2</v>
      </c>
      <c r="V233">
        <v>0.1130920605205233</v>
      </c>
      <c r="W233">
        <v>3.3869633862115618E-2</v>
      </c>
      <c r="X233">
        <v>0.80354773999999995</v>
      </c>
      <c r="Y233">
        <v>0.92063788000000002</v>
      </c>
      <c r="Z233">
        <v>0.23456447</v>
      </c>
    </row>
    <row r="234" spans="1:26" x14ac:dyDescent="0.2">
      <c r="A234" t="s">
        <v>19</v>
      </c>
      <c r="B234" t="s">
        <v>262</v>
      </c>
      <c r="C234">
        <v>4.3594823809430361E-2</v>
      </c>
      <c r="D234">
        <v>5.0933321291691799E-2</v>
      </c>
      <c r="E234">
        <v>4.5090929585932193E-2</v>
      </c>
      <c r="F234">
        <v>0.13204908400000001</v>
      </c>
      <c r="G234">
        <v>0.14758326599999999</v>
      </c>
      <c r="H234">
        <v>0.12705693500000001</v>
      </c>
      <c r="I234">
        <v>0.162370851690851</v>
      </c>
      <c r="J234">
        <v>0.46791736973456899</v>
      </c>
      <c r="K234">
        <v>0.186310795369864</v>
      </c>
      <c r="L234">
        <v>4.6123079631132713E-2</v>
      </c>
      <c r="M234">
        <v>5.4311999538846592E-2</v>
      </c>
      <c r="N234">
        <v>4.6925525748367003E-2</v>
      </c>
      <c r="O234">
        <v>1.336478589099358</v>
      </c>
      <c r="P234">
        <v>1.3770823071284251</v>
      </c>
      <c r="Q234">
        <v>1.2966679730618931</v>
      </c>
      <c r="R234">
        <v>0.48737427409789302</v>
      </c>
      <c r="S234">
        <v>0.28840718338931087</v>
      </c>
      <c r="T234">
        <v>0.17591062115865999</v>
      </c>
      <c r="U234">
        <v>4.5245582969785987E-2</v>
      </c>
      <c r="V234">
        <v>0.24725953768638401</v>
      </c>
      <c r="W234">
        <v>0.24681602887000961</v>
      </c>
      <c r="X234">
        <v>0.60638075999999996</v>
      </c>
      <c r="Y234">
        <v>2.0322613999999999</v>
      </c>
      <c r="Z234">
        <v>1.78942527</v>
      </c>
    </row>
    <row r="235" spans="1:26" x14ac:dyDescent="0.2">
      <c r="A235" t="s">
        <v>19</v>
      </c>
      <c r="B235" t="s">
        <v>269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3.785350560070357</v>
      </c>
      <c r="P235">
        <v>3.2923976154553229</v>
      </c>
      <c r="Q235">
        <v>2.3471571521542942</v>
      </c>
      <c r="R235">
        <v>6.7897129301420001E-2</v>
      </c>
      <c r="S235">
        <v>0.1158634379292737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x14ac:dyDescent="0.2">
      <c r="A236" t="s">
        <v>19</v>
      </c>
      <c r="B236" t="s">
        <v>223</v>
      </c>
      <c r="C236">
        <v>0.82773058874045569</v>
      </c>
      <c r="D236">
        <v>0.65112636385701361</v>
      </c>
      <c r="E236">
        <v>0.73058916359810555</v>
      </c>
      <c r="F236">
        <v>0.98497780999999995</v>
      </c>
      <c r="G236">
        <v>0.92996987000000009</v>
      </c>
      <c r="H236">
        <v>0.97292483399999996</v>
      </c>
      <c r="I236">
        <v>0</v>
      </c>
      <c r="J236">
        <v>0</v>
      </c>
      <c r="K236">
        <v>0</v>
      </c>
      <c r="L236">
        <v>2.1984617490880998E-3</v>
      </c>
      <c r="M236">
        <v>0</v>
      </c>
      <c r="N236">
        <v>0</v>
      </c>
      <c r="O236">
        <v>0.10094357672980669</v>
      </c>
      <c r="P236">
        <v>0.24457097200836159</v>
      </c>
      <c r="Q236">
        <v>0.1236053631718797</v>
      </c>
      <c r="R236">
        <v>0.1286569354075679</v>
      </c>
      <c r="S236">
        <v>0.10106945333458001</v>
      </c>
      <c r="T236">
        <v>0.1625186374584241</v>
      </c>
      <c r="U236">
        <v>4.0184780726498788E-2</v>
      </c>
      <c r="V236">
        <v>6.8827835345565191E-2</v>
      </c>
      <c r="W236">
        <v>0</v>
      </c>
      <c r="X236">
        <v>0</v>
      </c>
      <c r="Y236">
        <v>0</v>
      </c>
      <c r="Z236">
        <v>0</v>
      </c>
    </row>
    <row r="237" spans="1:26" x14ac:dyDescent="0.2">
      <c r="A237" t="s">
        <v>19</v>
      </c>
      <c r="B237" t="s">
        <v>41</v>
      </c>
      <c r="C237">
        <v>0.53740139888795169</v>
      </c>
      <c r="D237">
        <v>0.3861782652133911</v>
      </c>
      <c r="E237">
        <v>0.4392086871571354</v>
      </c>
      <c r="F237">
        <v>1.0746847900000001</v>
      </c>
      <c r="G237">
        <v>1.27680471</v>
      </c>
      <c r="H237">
        <v>1.44032917</v>
      </c>
      <c r="I237">
        <v>3.2738500779721401E-3</v>
      </c>
      <c r="J237">
        <v>3.9413902388915293E-3</v>
      </c>
      <c r="K237">
        <v>6.721231390862269E-3</v>
      </c>
      <c r="L237">
        <v>4.2312901553897414E-3</v>
      </c>
      <c r="M237">
        <v>9.0974556548507595E-3</v>
      </c>
      <c r="N237">
        <v>9.1410961128885089E-3</v>
      </c>
      <c r="O237">
        <v>4.6390005001527297E-2</v>
      </c>
      <c r="P237">
        <v>0.12683310902271699</v>
      </c>
      <c r="Q237">
        <v>8.9188440919174897E-2</v>
      </c>
      <c r="R237">
        <v>0</v>
      </c>
      <c r="S237">
        <v>2.6250872032392899E-2</v>
      </c>
      <c r="T237">
        <v>9.1267886900143702E-2</v>
      </c>
      <c r="U237">
        <v>4.0771297542773803E-2</v>
      </c>
      <c r="V237">
        <v>9.3947216392315694E-2</v>
      </c>
      <c r="W237">
        <v>0</v>
      </c>
      <c r="X237">
        <v>0</v>
      </c>
      <c r="Y237">
        <v>0</v>
      </c>
      <c r="Z237">
        <v>0</v>
      </c>
    </row>
    <row r="238" spans="1:26" x14ac:dyDescent="0.2">
      <c r="A238" t="s">
        <v>19</v>
      </c>
      <c r="B238" t="s">
        <v>186</v>
      </c>
      <c r="C238">
        <v>0.43912396222261407</v>
      </c>
      <c r="D238">
        <v>0.38967786727476961</v>
      </c>
      <c r="E238">
        <v>0.40174156459006588</v>
      </c>
      <c r="F238">
        <v>0.33291641300000002</v>
      </c>
      <c r="G238">
        <v>0.59190796000000001</v>
      </c>
      <c r="H238">
        <v>0.29175976999999997</v>
      </c>
      <c r="I238">
        <v>4.1518938189603699E-2</v>
      </c>
      <c r="J238">
        <v>6.8808034676824573E-2</v>
      </c>
      <c r="K238">
        <v>8.6447621176743275E-2</v>
      </c>
      <c r="L238">
        <v>3.5961382372211692E-2</v>
      </c>
      <c r="M238">
        <v>4.5014940166204442E-2</v>
      </c>
      <c r="N238">
        <v>2.278473992835536E-2</v>
      </c>
      <c r="O238">
        <v>0.87818763447898496</v>
      </c>
      <c r="P238">
        <v>0.40947224301566598</v>
      </c>
      <c r="Q238">
        <v>0.68580715449142304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2">
      <c r="A239" t="s">
        <v>19</v>
      </c>
      <c r="B239" t="s">
        <v>193</v>
      </c>
      <c r="C239">
        <v>0.17083521326611331</v>
      </c>
      <c r="D239">
        <v>0.16389426686159081</v>
      </c>
      <c r="E239">
        <v>0.23540617719997001</v>
      </c>
      <c r="F239">
        <v>0</v>
      </c>
      <c r="G239">
        <v>4.4152336E-2</v>
      </c>
      <c r="H239">
        <v>6.9027850000000002E-2</v>
      </c>
      <c r="I239">
        <v>0</v>
      </c>
      <c r="J239">
        <v>1.0524968593493699E-2</v>
      </c>
      <c r="K239">
        <v>0</v>
      </c>
      <c r="L239">
        <v>0</v>
      </c>
      <c r="M239">
        <v>0</v>
      </c>
      <c r="N239">
        <v>0</v>
      </c>
      <c r="O239">
        <v>5.1431813070434193E-2</v>
      </c>
      <c r="P239">
        <v>7.0237019396727302E-2</v>
      </c>
      <c r="Q239">
        <v>1.3170621208907E-2</v>
      </c>
      <c r="R239">
        <v>0.27892467073011867</v>
      </c>
      <c r="S239">
        <v>0.21541537509978981</v>
      </c>
      <c r="T239">
        <v>0.63484749330400736</v>
      </c>
      <c r="U239">
        <v>0.15441032716466599</v>
      </c>
      <c r="V239">
        <v>0.23146394436440981</v>
      </c>
      <c r="W239">
        <v>0.3313359897752044</v>
      </c>
      <c r="X239">
        <v>0</v>
      </c>
      <c r="Y239">
        <v>0</v>
      </c>
      <c r="Z239">
        <v>0</v>
      </c>
    </row>
    <row r="240" spans="1:26" x14ac:dyDescent="0.2">
      <c r="A240" t="s">
        <v>19</v>
      </c>
      <c r="B240" t="s">
        <v>47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2.5355416681138901E-2</v>
      </c>
      <c r="J240">
        <v>7.3162845682068503E-2</v>
      </c>
      <c r="K240">
        <v>1.0938819613493E-2</v>
      </c>
      <c r="L240">
        <v>6.4817033219569907E-3</v>
      </c>
      <c r="M240">
        <v>2.1789498951650301E-2</v>
      </c>
      <c r="N240">
        <v>9.3972527857038197E-3</v>
      </c>
      <c r="O240">
        <v>0.99424992195603412</v>
      </c>
      <c r="P240">
        <v>0.78435927967202757</v>
      </c>
      <c r="Q240">
        <v>0.35192849104160467</v>
      </c>
      <c r="R240">
        <v>5.7667651676688192E-2</v>
      </c>
      <c r="S240">
        <v>0.30367584128650871</v>
      </c>
      <c r="T240">
        <v>2.6878419678457499E-2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19</v>
      </c>
      <c r="B241" t="s">
        <v>299</v>
      </c>
      <c r="C241">
        <v>1.7147253772398441</v>
      </c>
      <c r="D241">
        <v>1.8507165717446641</v>
      </c>
      <c r="E241">
        <v>1.9537104531449621</v>
      </c>
      <c r="F241">
        <v>2.2559415619999998</v>
      </c>
      <c r="G241">
        <v>2.7772177309999999</v>
      </c>
      <c r="H241">
        <v>3.3683221360000002</v>
      </c>
      <c r="I241">
        <v>1.108333622778729</v>
      </c>
      <c r="J241">
        <v>0.95621781464604128</v>
      </c>
      <c r="K241">
        <v>0.80124240316624418</v>
      </c>
      <c r="L241">
        <v>0.57278943662660453</v>
      </c>
      <c r="M241">
        <v>0.60353883625870386</v>
      </c>
      <c r="N241">
        <v>0.64188504903287646</v>
      </c>
      <c r="O241">
        <v>1.0105535583013601</v>
      </c>
      <c r="P241">
        <v>1.2235995454316271</v>
      </c>
      <c r="Q241">
        <v>0.72123084003609916</v>
      </c>
      <c r="R241">
        <v>0.13736433258143479</v>
      </c>
      <c r="S241">
        <v>0.40727688556777369</v>
      </c>
      <c r="T241">
        <v>0.35673950736390408</v>
      </c>
      <c r="U241">
        <v>0.1642693955525267</v>
      </c>
      <c r="V241">
        <v>0.25286843587062302</v>
      </c>
      <c r="W241">
        <v>0.31076610781144243</v>
      </c>
      <c r="X241">
        <v>2.9784375700000001</v>
      </c>
      <c r="Y241">
        <v>0</v>
      </c>
      <c r="Z241">
        <v>0.54342500999999999</v>
      </c>
    </row>
    <row r="242" spans="1:26" x14ac:dyDescent="0.2">
      <c r="A242" t="s">
        <v>21</v>
      </c>
      <c r="B242" t="s">
        <v>216</v>
      </c>
      <c r="C242">
        <v>3.0087643011118301E-2</v>
      </c>
      <c r="D242">
        <v>4.6728154298583763E-2</v>
      </c>
      <c r="E242">
        <v>1.6917787630570408E-2</v>
      </c>
      <c r="F242">
        <v>2.297635E-2</v>
      </c>
      <c r="G242">
        <v>0</v>
      </c>
      <c r="H242">
        <v>9.5791236000000002E-2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1.34806266343078E-2</v>
      </c>
      <c r="P242">
        <v>3.3080321300717141E-2</v>
      </c>
      <c r="Q242">
        <v>7.21130163706903E-2</v>
      </c>
      <c r="R242">
        <v>0.37476774560687842</v>
      </c>
      <c r="S242">
        <v>0.2320145566479439</v>
      </c>
      <c r="T242">
        <v>0.41235165932412698</v>
      </c>
      <c r="U242">
        <v>0.1359434262636644</v>
      </c>
      <c r="V242">
        <v>0.22117487038106909</v>
      </c>
      <c r="W242">
        <v>0.16859634613938779</v>
      </c>
      <c r="X242">
        <v>0.65708169999999999</v>
      </c>
      <c r="Y242">
        <v>1.02252196</v>
      </c>
      <c r="Z242">
        <v>1.4760780899999999</v>
      </c>
    </row>
    <row r="243" spans="1:26" x14ac:dyDescent="0.2">
      <c r="A243" t="s">
        <v>21</v>
      </c>
      <c r="B243" t="s">
        <v>262</v>
      </c>
      <c r="C243">
        <v>4.3682009097784857E-2</v>
      </c>
      <c r="D243">
        <v>2.392147344535819E-2</v>
      </c>
      <c r="E243">
        <v>3.079018561659275E-2</v>
      </c>
      <c r="F243">
        <v>0</v>
      </c>
      <c r="G243">
        <v>0</v>
      </c>
      <c r="H243">
        <v>8.5753283999999999E-2</v>
      </c>
      <c r="I243">
        <v>0.23131229198895251</v>
      </c>
      <c r="J243">
        <v>0.54550828020329178</v>
      </c>
      <c r="K243">
        <v>0.3207778578170799</v>
      </c>
      <c r="L243">
        <v>0.13009551726498389</v>
      </c>
      <c r="M243">
        <v>0.1497853829853317</v>
      </c>
      <c r="N243">
        <v>9.644562810540451E-2</v>
      </c>
      <c r="O243">
        <v>0.85437835043587107</v>
      </c>
      <c r="P243">
        <v>0.75541351371268306</v>
      </c>
      <c r="Q243">
        <v>0.60264131540815236</v>
      </c>
      <c r="R243">
        <v>0.14798461464625351</v>
      </c>
      <c r="S243">
        <v>9.5725782671547605E-2</v>
      </c>
      <c r="T243">
        <v>0.21007535942465111</v>
      </c>
      <c r="U243">
        <v>2.9504588795853021E-2</v>
      </c>
      <c r="V243">
        <v>7.6476997667224891E-2</v>
      </c>
      <c r="W243">
        <v>0.12326892714833471</v>
      </c>
      <c r="X243">
        <v>0</v>
      </c>
      <c r="Y243">
        <v>0</v>
      </c>
      <c r="Z243">
        <v>0</v>
      </c>
    </row>
    <row r="244" spans="1:26" x14ac:dyDescent="0.2">
      <c r="A244" t="s">
        <v>21</v>
      </c>
      <c r="B244" t="s">
        <v>47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5.5054295503265398E-2</v>
      </c>
      <c r="J244">
        <v>0.11389784212883899</v>
      </c>
      <c r="K244">
        <v>3.7849619951314001E-2</v>
      </c>
      <c r="L244">
        <v>1.4054997604122901E-2</v>
      </c>
      <c r="M244">
        <v>2.2673949908070399E-2</v>
      </c>
      <c r="N244">
        <v>9.5332534934356606E-3</v>
      </c>
      <c r="O244">
        <v>0.78309148095559367</v>
      </c>
      <c r="P244">
        <v>0.50657999356157435</v>
      </c>
      <c r="Q244">
        <v>0.2286718994387297</v>
      </c>
      <c r="R244">
        <v>0.16947885885103511</v>
      </c>
      <c r="S244">
        <v>0.12227152751307099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x14ac:dyDescent="0.2">
      <c r="A245" t="s">
        <v>21</v>
      </c>
      <c r="B245" t="s">
        <v>202</v>
      </c>
      <c r="C245">
        <v>2.2310715289902E-2</v>
      </c>
      <c r="D245">
        <v>3.5470160247907299E-2</v>
      </c>
      <c r="E245">
        <v>4.2753813782219888E-2</v>
      </c>
      <c r="F245">
        <v>0</v>
      </c>
      <c r="G245">
        <v>0</v>
      </c>
      <c r="H245">
        <v>0</v>
      </c>
      <c r="I245">
        <v>3.1473847049927998E-3</v>
      </c>
      <c r="J245">
        <v>7.0020511058795001E-3</v>
      </c>
      <c r="K245">
        <v>0</v>
      </c>
      <c r="L245">
        <v>0.52345942655414168</v>
      </c>
      <c r="M245">
        <v>0.69594933507011492</v>
      </c>
      <c r="N245">
        <v>0.32085999981514463</v>
      </c>
      <c r="O245">
        <v>2.3722009069883799E-2</v>
      </c>
      <c r="P245">
        <v>1.37068654562943E-2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">
      <c r="A246" t="s">
        <v>21</v>
      </c>
      <c r="B246" t="s">
        <v>270</v>
      </c>
      <c r="C246">
        <v>3.5724171903233001E-3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0.66801942875173248</v>
      </c>
      <c r="P246">
        <v>0.59572891900382796</v>
      </c>
      <c r="Q246">
        <v>0.24944358350202619</v>
      </c>
      <c r="R246">
        <v>0</v>
      </c>
      <c r="S246">
        <v>0</v>
      </c>
      <c r="T246">
        <v>0</v>
      </c>
      <c r="U246">
        <v>1.26966926037437E-2</v>
      </c>
      <c r="V246">
        <v>2.3978588195719099E-2</v>
      </c>
      <c r="W246">
        <v>0</v>
      </c>
      <c r="X246">
        <v>0</v>
      </c>
      <c r="Y246">
        <v>0</v>
      </c>
      <c r="Z246">
        <v>0</v>
      </c>
    </row>
    <row r="247" spans="1:26" x14ac:dyDescent="0.2">
      <c r="A247" t="s">
        <v>21</v>
      </c>
      <c r="B247" t="s">
        <v>204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2.81126115693047E-2</v>
      </c>
      <c r="P247">
        <v>0</v>
      </c>
      <c r="Q247">
        <v>0</v>
      </c>
      <c r="R247">
        <v>0.16583820696180401</v>
      </c>
      <c r="S247">
        <v>1.5110433463029401E-2</v>
      </c>
      <c r="T247">
        <v>0</v>
      </c>
      <c r="U247">
        <v>2.3471844399881599E-2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">
      <c r="A248" t="s">
        <v>21</v>
      </c>
      <c r="B248" t="s">
        <v>218</v>
      </c>
      <c r="C248">
        <v>7.7093591227416301E-3</v>
      </c>
      <c r="D248">
        <v>0</v>
      </c>
      <c r="E248">
        <v>1.3515442999924901E-2</v>
      </c>
      <c r="F248">
        <v>0</v>
      </c>
      <c r="G248">
        <v>0</v>
      </c>
      <c r="H248">
        <v>0</v>
      </c>
      <c r="I248">
        <v>3.3702131297775197E-2</v>
      </c>
      <c r="J248">
        <v>7.0903766423160999E-2</v>
      </c>
      <c r="K248">
        <v>3.1260867405236203E-2</v>
      </c>
      <c r="L248">
        <v>1.9163961118336799E-2</v>
      </c>
      <c r="M248">
        <v>2.6821749578208098E-2</v>
      </c>
      <c r="N248">
        <v>2.17535112609906E-2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x14ac:dyDescent="0.2">
      <c r="A249" t="s">
        <v>21</v>
      </c>
      <c r="B249" t="s">
        <v>43</v>
      </c>
      <c r="C249">
        <v>3.8230748943423299E-3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2.10030579807928E-2</v>
      </c>
      <c r="P249">
        <v>4.0825825068747601E-2</v>
      </c>
      <c r="Q249">
        <v>8.9278330498815298E-2</v>
      </c>
      <c r="R249">
        <v>4.0739648824501401E-2</v>
      </c>
      <c r="S249">
        <v>3.7851599864790003E-2</v>
      </c>
      <c r="T249">
        <v>0.148897269654507</v>
      </c>
      <c r="U249">
        <v>5.0043849114359613E-2</v>
      </c>
      <c r="V249">
        <v>5.1321052747043808E-2</v>
      </c>
      <c r="W249">
        <v>9.2331403653860597E-2</v>
      </c>
      <c r="X249">
        <v>0.19549016999999999</v>
      </c>
      <c r="Y249">
        <v>0.49138253999999998</v>
      </c>
      <c r="Z249">
        <v>0</v>
      </c>
    </row>
    <row r="250" spans="1:26" x14ac:dyDescent="0.2">
      <c r="A250" t="s">
        <v>23</v>
      </c>
      <c r="B250" t="s">
        <v>32</v>
      </c>
      <c r="C250">
        <v>0.18460612956169781</v>
      </c>
      <c r="D250">
        <v>0.10894204771876741</v>
      </c>
      <c r="E250">
        <v>0.14172052303298999</v>
      </c>
      <c r="F250">
        <v>2.6835649999999999E-2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1.730461315368113</v>
      </c>
      <c r="P250">
        <v>2.265212720157316</v>
      </c>
      <c r="Q250">
        <v>3.3404585806794942</v>
      </c>
      <c r="R250">
        <v>2.9341940172639571</v>
      </c>
      <c r="S250">
        <v>3.350172248872648</v>
      </c>
      <c r="T250">
        <v>2.6917077646519059</v>
      </c>
      <c r="U250">
        <v>1.4427978527898651</v>
      </c>
      <c r="V250">
        <v>1.581482591939859</v>
      </c>
      <c r="W250">
        <v>1.4339824073377949</v>
      </c>
      <c r="X250">
        <v>0.79541479999999998</v>
      </c>
      <c r="Y250">
        <v>1.0716999</v>
      </c>
      <c r="Z250">
        <v>0.89610939999999994</v>
      </c>
    </row>
    <row r="251" spans="1:26" x14ac:dyDescent="0.2">
      <c r="A251" t="s">
        <v>23</v>
      </c>
      <c r="B251" t="s">
        <v>278</v>
      </c>
      <c r="C251">
        <v>3.4414212945707498E-2</v>
      </c>
      <c r="D251">
        <v>2.9261188848687399E-2</v>
      </c>
      <c r="E251">
        <v>7.1259487487788403E-2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0.12779070118727501</v>
      </c>
      <c r="P251">
        <v>0.27517288724609901</v>
      </c>
      <c r="Q251">
        <v>0.240526537201701</v>
      </c>
      <c r="R251">
        <v>0</v>
      </c>
      <c r="S251">
        <v>2.7761196176722298E-2</v>
      </c>
      <c r="T251">
        <v>1.7757028261470902E-2</v>
      </c>
      <c r="U251">
        <v>0.129944197114337</v>
      </c>
      <c r="V251">
        <v>5.5679466459958901E-2</v>
      </c>
      <c r="W251">
        <v>0</v>
      </c>
      <c r="X251">
        <v>1.9100999000000001</v>
      </c>
      <c r="Y251">
        <v>0</v>
      </c>
      <c r="Z251">
        <v>0</v>
      </c>
    </row>
    <row r="252" spans="1:26" x14ac:dyDescent="0.2">
      <c r="A252" t="s">
        <v>23</v>
      </c>
      <c r="B252" t="s">
        <v>262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4.4298504591494597E-3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1.0971034779076829</v>
      </c>
      <c r="P252">
        <v>0.7352061653744566</v>
      </c>
      <c r="Q252">
        <v>0.64751419356462503</v>
      </c>
      <c r="R252">
        <v>8.6607748897862893E-2</v>
      </c>
      <c r="S252">
        <v>1.84403386002891E-2</v>
      </c>
      <c r="T252">
        <v>0.11763356564096</v>
      </c>
      <c r="U252">
        <v>7.7917362573524107E-2</v>
      </c>
      <c r="V252">
        <v>0.1280028081054794</v>
      </c>
      <c r="W252">
        <v>0</v>
      </c>
      <c r="X252">
        <v>0</v>
      </c>
      <c r="Y252">
        <v>0</v>
      </c>
      <c r="Z252">
        <v>0</v>
      </c>
    </row>
    <row r="253" spans="1:26" x14ac:dyDescent="0.2">
      <c r="A253" t="s">
        <v>23</v>
      </c>
      <c r="B253" t="s">
        <v>33</v>
      </c>
      <c r="C253">
        <v>0</v>
      </c>
      <c r="D253">
        <v>3.1095657671184201E-2</v>
      </c>
      <c r="E253">
        <v>3.7532877432930017E-2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0.53010483066976888</v>
      </c>
      <c r="P253">
        <v>0.75861721231678603</v>
      </c>
      <c r="Q253">
        <v>0.36991000255286433</v>
      </c>
      <c r="R253">
        <v>8.1623278232192703E-2</v>
      </c>
      <c r="S253">
        <v>4.2749365304258401E-2</v>
      </c>
      <c r="T253">
        <v>1.6616854334347599E-2</v>
      </c>
      <c r="U253">
        <v>1.99024706322651E-2</v>
      </c>
      <c r="V253">
        <v>5.4034092155586598E-2</v>
      </c>
      <c r="W253">
        <v>0.107773851590106</v>
      </c>
      <c r="X253">
        <v>0</v>
      </c>
      <c r="Y253">
        <v>0</v>
      </c>
      <c r="Z253">
        <v>0</v>
      </c>
    </row>
    <row r="254" spans="1:26" x14ac:dyDescent="0.2">
      <c r="A254" t="s">
        <v>23</v>
      </c>
      <c r="B254" t="s">
        <v>44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8.5885287117878309E-2</v>
      </c>
      <c r="P254">
        <v>4.4995287537767603E-2</v>
      </c>
      <c r="Q254">
        <v>5.6652008672546612E-2</v>
      </c>
      <c r="R254">
        <v>0.18227256210019699</v>
      </c>
      <c r="S254">
        <v>0.31032845954129301</v>
      </c>
      <c r="T254">
        <v>0.23886981102797811</v>
      </c>
      <c r="U254">
        <v>0.1247549197589132</v>
      </c>
      <c r="V254">
        <v>0.28144675934389801</v>
      </c>
      <c r="W254">
        <v>0.14113224569581251</v>
      </c>
      <c r="X254">
        <v>0</v>
      </c>
      <c r="Y254">
        <v>0</v>
      </c>
      <c r="Z254">
        <v>0</v>
      </c>
    </row>
    <row r="255" spans="1:26" x14ac:dyDescent="0.2">
      <c r="A255" t="s">
        <v>23</v>
      </c>
      <c r="B255" t="s">
        <v>31</v>
      </c>
      <c r="C255">
        <v>1.0144008300039401E-2</v>
      </c>
      <c r="D255">
        <v>1.27142800697663E-2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3.9992078117814488E-2</v>
      </c>
      <c r="P255">
        <v>2.3923018147827799E-2</v>
      </c>
      <c r="Q255">
        <v>3.21229401802825E-2</v>
      </c>
      <c r="R255">
        <v>0.1237478831426162</v>
      </c>
      <c r="S255">
        <v>0.12703264457757671</v>
      </c>
      <c r="T255">
        <v>0.20702590016394259</v>
      </c>
      <c r="U255">
        <v>0.13957424465012899</v>
      </c>
      <c r="V255">
        <v>9.4488361719087102E-2</v>
      </c>
      <c r="W255">
        <v>6.0273663634313197E-2</v>
      </c>
      <c r="X255">
        <v>0</v>
      </c>
      <c r="Y255">
        <v>0</v>
      </c>
      <c r="Z255">
        <v>0</v>
      </c>
    </row>
    <row r="256" spans="1:26" x14ac:dyDescent="0.2">
      <c r="A256" t="s">
        <v>23</v>
      </c>
      <c r="B256" t="s">
        <v>279</v>
      </c>
      <c r="C256">
        <v>7.3298851551789196E-2</v>
      </c>
      <c r="D256">
        <v>3.71098931492468E-2</v>
      </c>
      <c r="E256">
        <v>4.8087472758698437E-2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1.8335794404404501E-3</v>
      </c>
      <c r="M256">
        <v>0</v>
      </c>
      <c r="N256">
        <v>0</v>
      </c>
      <c r="O256">
        <v>0.1166765690193985</v>
      </c>
      <c r="P256">
        <v>0.1535176688244444</v>
      </c>
      <c r="Q256">
        <v>2.5496280369194529E-2</v>
      </c>
      <c r="R256">
        <v>9.34708233632493E-2</v>
      </c>
      <c r="S256">
        <v>6.4490840962867599E-2</v>
      </c>
      <c r="T256">
        <v>0</v>
      </c>
      <c r="U256">
        <v>4.5050077364361001E-2</v>
      </c>
      <c r="V256">
        <v>2.4965812778342499E-2</v>
      </c>
      <c r="W256">
        <v>0.18503120066160411</v>
      </c>
      <c r="X256">
        <v>0</v>
      </c>
      <c r="Y256">
        <v>0</v>
      </c>
      <c r="Z256">
        <v>0</v>
      </c>
    </row>
    <row r="257" spans="1:26" x14ac:dyDescent="0.2">
      <c r="A257" t="s">
        <v>23</v>
      </c>
      <c r="B257" t="s">
        <v>280</v>
      </c>
      <c r="C257">
        <v>0</v>
      </c>
      <c r="D257">
        <v>0</v>
      </c>
      <c r="E257">
        <v>0</v>
      </c>
      <c r="F257">
        <v>0</v>
      </c>
      <c r="G257">
        <v>0.10497938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8.0695782940428101E-3</v>
      </c>
      <c r="P257">
        <v>2.4365175098030802E-2</v>
      </c>
      <c r="Q257">
        <v>1.7287563956435902E-2</v>
      </c>
      <c r="R257">
        <v>9.2517809026896894E-2</v>
      </c>
      <c r="S257">
        <v>5.6939220241220313E-2</v>
      </c>
      <c r="T257">
        <v>0.101630651113525</v>
      </c>
      <c r="U257">
        <v>0.12228037738167701</v>
      </c>
      <c r="V257">
        <v>0</v>
      </c>
      <c r="W257">
        <v>6.1807382903541097E-2</v>
      </c>
      <c r="X257">
        <v>0</v>
      </c>
      <c r="Y257">
        <v>0</v>
      </c>
      <c r="Z257">
        <v>0</v>
      </c>
    </row>
    <row r="258" spans="1:26" x14ac:dyDescent="0.2">
      <c r="A258" t="s">
        <v>23</v>
      </c>
      <c r="B258" t="s">
        <v>281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7.2186473050495303E-2</v>
      </c>
      <c r="P258">
        <v>0</v>
      </c>
      <c r="Q258">
        <v>0</v>
      </c>
      <c r="R258">
        <v>0.110090296394315</v>
      </c>
      <c r="S258">
        <v>5.80036391619859E-2</v>
      </c>
      <c r="T258">
        <v>0</v>
      </c>
      <c r="U258">
        <v>9.0094568854281298E-2</v>
      </c>
      <c r="V258">
        <v>1.7038765018610999E-2</v>
      </c>
      <c r="W258">
        <v>0</v>
      </c>
      <c r="X258">
        <v>0</v>
      </c>
      <c r="Y258">
        <v>0.23250436999999999</v>
      </c>
      <c r="Z258">
        <v>0</v>
      </c>
    </row>
    <row r="259" spans="1:26" x14ac:dyDescent="0.2">
      <c r="A259" t="s">
        <v>23</v>
      </c>
      <c r="B259" t="s">
        <v>282</v>
      </c>
      <c r="C259">
        <v>0</v>
      </c>
      <c r="D259">
        <v>2.27163685419642E-2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6.5774003214451399E-2</v>
      </c>
      <c r="R259">
        <v>9.7269168272164405E-2</v>
      </c>
      <c r="S259">
        <v>5.7011140438569398E-2</v>
      </c>
      <c r="T259">
        <v>0.29674207106859302</v>
      </c>
      <c r="U259">
        <v>0</v>
      </c>
      <c r="V259">
        <v>0</v>
      </c>
      <c r="W259">
        <v>1.4976317570107501E-2</v>
      </c>
      <c r="X259">
        <v>0</v>
      </c>
      <c r="Y259">
        <v>0</v>
      </c>
      <c r="Z259">
        <v>0</v>
      </c>
    </row>
    <row r="260" spans="1:26" x14ac:dyDescent="0.2">
      <c r="A260" t="s">
        <v>23</v>
      </c>
      <c r="B260" t="s">
        <v>299</v>
      </c>
      <c r="C260">
        <v>0.52156419125836695</v>
      </c>
      <c r="D260">
        <v>0.48005791276959592</v>
      </c>
      <c r="E260">
        <v>0.42997482527992781</v>
      </c>
      <c r="F260">
        <v>5.4097279999999998E-2</v>
      </c>
      <c r="G260">
        <v>0</v>
      </c>
      <c r="H260">
        <v>0.16870362799999999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1.7694631582127429</v>
      </c>
      <c r="P260">
        <v>2.214345278035271</v>
      </c>
      <c r="Q260">
        <v>2.6260018193650918</v>
      </c>
      <c r="R260">
        <v>2.7244211637744851</v>
      </c>
      <c r="S260">
        <v>2.8321310673676479</v>
      </c>
      <c r="T260">
        <v>2.9863448992396591</v>
      </c>
      <c r="U260">
        <v>1.8586438614032841</v>
      </c>
      <c r="V260">
        <v>1.2816149531616781</v>
      </c>
      <c r="W260">
        <v>2.0140290203744069</v>
      </c>
      <c r="X260">
        <v>2.8085892100000001</v>
      </c>
      <c r="Y260">
        <v>2.3169377799999999</v>
      </c>
      <c r="Z260">
        <v>3.03683894</v>
      </c>
    </row>
    <row r="261" spans="1:26" x14ac:dyDescent="0.2">
      <c r="A261" t="s">
        <v>24</v>
      </c>
      <c r="B261" t="s">
        <v>214</v>
      </c>
      <c r="C261">
        <v>1.59336781511488</v>
      </c>
      <c r="D261">
        <v>1.4392311035600001</v>
      </c>
      <c r="E261">
        <v>1.25929773803261</v>
      </c>
      <c r="F261">
        <v>0.70033219999999996</v>
      </c>
      <c r="G261">
        <v>0.55878609999999995</v>
      </c>
      <c r="H261">
        <v>1.3382305999999999</v>
      </c>
      <c r="I261">
        <v>23.671495506471601</v>
      </c>
      <c r="J261">
        <v>22.9022786136006</v>
      </c>
      <c r="K261">
        <v>22.879513595641399</v>
      </c>
      <c r="L261">
        <v>0.24353724366559401</v>
      </c>
      <c r="M261">
        <v>0.25110405806403302</v>
      </c>
      <c r="N261">
        <v>9.5813158794690406E-2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">
      <c r="A262" t="s">
        <v>24</v>
      </c>
      <c r="B262" t="s">
        <v>32</v>
      </c>
      <c r="C262">
        <v>0.3367640744300805</v>
      </c>
      <c r="D262">
        <v>0.30139193849731599</v>
      </c>
      <c r="E262">
        <v>0.25131321860674838</v>
      </c>
      <c r="F262">
        <v>0</v>
      </c>
      <c r="G262">
        <v>2.2875557000000001E-2</v>
      </c>
      <c r="H262">
        <v>0.1571795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7.266762669137222</v>
      </c>
      <c r="P262">
        <v>9.5613880625380663</v>
      </c>
      <c r="Q262">
        <v>9.1595036656970521</v>
      </c>
      <c r="R262">
        <v>6.6481868730845433</v>
      </c>
      <c r="S262">
        <v>6.6417942650834707</v>
      </c>
      <c r="T262">
        <v>5.5533689103580386</v>
      </c>
      <c r="U262">
        <v>3.3808560911167831</v>
      </c>
      <c r="V262">
        <v>3.1065398144017791</v>
      </c>
      <c r="W262">
        <v>3.097188181339749</v>
      </c>
      <c r="X262">
        <v>0.15020459999999999</v>
      </c>
      <c r="Y262">
        <v>0.13448776000000001</v>
      </c>
      <c r="Z262">
        <v>0</v>
      </c>
    </row>
    <row r="263" spans="1:26" x14ac:dyDescent="0.2">
      <c r="A263" t="s">
        <v>24</v>
      </c>
      <c r="B263" t="s">
        <v>260</v>
      </c>
      <c r="C263">
        <v>9.9341097183261298E-2</v>
      </c>
      <c r="D263">
        <v>4.4967064228986893E-2</v>
      </c>
      <c r="E263">
        <v>5.4326670173592877E-2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3.6880389649188203E-2</v>
      </c>
      <c r="P263">
        <v>7.3281696641546434E-2</v>
      </c>
      <c r="Q263">
        <v>5.3110359234716097E-2</v>
      </c>
      <c r="R263">
        <v>0.41429384380163609</v>
      </c>
      <c r="S263">
        <v>0.77389009155441157</v>
      </c>
      <c r="T263">
        <v>0.87353514636729734</v>
      </c>
      <c r="U263">
        <v>0.99711210291414976</v>
      </c>
      <c r="V263">
        <v>0.7694209013726081</v>
      </c>
      <c r="W263">
        <v>1.4143147131794589</v>
      </c>
      <c r="X263">
        <v>4.8514929599999999</v>
      </c>
      <c r="Y263">
        <v>7.7571843999999999</v>
      </c>
      <c r="Z263">
        <v>3.9619727199999999</v>
      </c>
    </row>
    <row r="264" spans="1:26" x14ac:dyDescent="0.2">
      <c r="A264" t="s">
        <v>24</v>
      </c>
      <c r="B264" t="s">
        <v>31</v>
      </c>
      <c r="C264">
        <v>0.19334645471923059</v>
      </c>
      <c r="D264">
        <v>0.18138381038930251</v>
      </c>
      <c r="E264">
        <v>0.24235364845570001</v>
      </c>
      <c r="F264">
        <v>3.3511855E-2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1.4970278834348699E-3</v>
      </c>
      <c r="N264">
        <v>0</v>
      </c>
      <c r="O264">
        <v>0.15093535274194461</v>
      </c>
      <c r="P264">
        <v>0.31229079964472323</v>
      </c>
      <c r="Q264">
        <v>0.36358896731255319</v>
      </c>
      <c r="R264">
        <v>1.2471118180633931</v>
      </c>
      <c r="S264">
        <v>2.119747128586122</v>
      </c>
      <c r="T264">
        <v>2.015517159954932</v>
      </c>
      <c r="U264">
        <v>1.218385347134167</v>
      </c>
      <c r="V264">
        <v>1.496895727145751</v>
      </c>
      <c r="W264">
        <v>1.280392451695362</v>
      </c>
      <c r="X264">
        <v>1.5910933700000001</v>
      </c>
      <c r="Y264">
        <v>1.47020068</v>
      </c>
      <c r="Z264">
        <v>4.0863305300000006</v>
      </c>
    </row>
    <row r="265" spans="1:26" x14ac:dyDescent="0.2">
      <c r="A265" t="s">
        <v>24</v>
      </c>
      <c r="B265" t="s">
        <v>262</v>
      </c>
      <c r="C265">
        <v>0.112761092693219</v>
      </c>
      <c r="D265">
        <v>0.12607316426116111</v>
      </c>
      <c r="E265">
        <v>5.581085143157738E-2</v>
      </c>
      <c r="F265">
        <v>3.6157492999999999E-2</v>
      </c>
      <c r="G265">
        <v>0.14255086</v>
      </c>
      <c r="H265">
        <v>7.3668216000000009E-2</v>
      </c>
      <c r="I265">
        <v>3.9306684763683403E-2</v>
      </c>
      <c r="J265">
        <v>8.9792296059788501E-2</v>
      </c>
      <c r="K265">
        <v>7.6315059532680904E-2</v>
      </c>
      <c r="L265">
        <v>5.2183670874935202E-2</v>
      </c>
      <c r="M265">
        <v>8.279768700588401E-2</v>
      </c>
      <c r="N265">
        <v>2.98343300116591E-2</v>
      </c>
      <c r="O265">
        <v>2.530880235239616</v>
      </c>
      <c r="P265">
        <v>1.9505055715654329</v>
      </c>
      <c r="Q265">
        <v>1.6358788863759759</v>
      </c>
      <c r="R265">
        <v>0.44278143061849978</v>
      </c>
      <c r="S265">
        <v>0.37168357989974299</v>
      </c>
      <c r="T265">
        <v>0.44868205339252359</v>
      </c>
      <c r="U265">
        <v>0.31524999581059382</v>
      </c>
      <c r="V265">
        <v>0.25128887653842508</v>
      </c>
      <c r="W265">
        <v>0.25471017216750702</v>
      </c>
      <c r="X265">
        <v>1.9284137699999999</v>
      </c>
      <c r="Y265">
        <v>0</v>
      </c>
      <c r="Z265">
        <v>1.1192369</v>
      </c>
    </row>
    <row r="266" spans="1:26" x14ac:dyDescent="0.2">
      <c r="A266" t="s">
        <v>24</v>
      </c>
      <c r="B266" t="s">
        <v>37</v>
      </c>
      <c r="C266">
        <v>1.435941699197677E-2</v>
      </c>
      <c r="D266">
        <v>7.0375868550431001E-2</v>
      </c>
      <c r="E266">
        <v>3.7219132787254798E-2</v>
      </c>
      <c r="F266">
        <v>0</v>
      </c>
      <c r="G266">
        <v>1.6434869000000001E-2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0.35746486343145067</v>
      </c>
      <c r="P266">
        <v>0.55949144193587141</v>
      </c>
      <c r="Q266">
        <v>0.69671255829339196</v>
      </c>
      <c r="R266">
        <v>1.0716406244643579</v>
      </c>
      <c r="S266">
        <v>0.85924498176823005</v>
      </c>
      <c r="T266">
        <v>0.51185713418295398</v>
      </c>
      <c r="U266">
        <v>0.2294677220245443</v>
      </c>
      <c r="V266">
        <v>0.34508252466233269</v>
      </c>
      <c r="W266">
        <v>0.43003533568904589</v>
      </c>
      <c r="X266">
        <v>1.2457180000000001</v>
      </c>
      <c r="Y266">
        <v>0.5327288</v>
      </c>
      <c r="Z266">
        <v>0</v>
      </c>
    </row>
    <row r="267" spans="1:26" x14ac:dyDescent="0.2">
      <c r="A267" t="s">
        <v>24</v>
      </c>
      <c r="B267" t="s">
        <v>34</v>
      </c>
      <c r="C267">
        <v>0.26183485798606299</v>
      </c>
      <c r="D267">
        <v>0.1235161969485726</v>
      </c>
      <c r="E267">
        <v>0.25612835349815871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0.2254748933399128</v>
      </c>
      <c r="P267">
        <v>4.3176238330353299E-2</v>
      </c>
      <c r="Q267">
        <v>0.16133381753853529</v>
      </c>
      <c r="R267">
        <v>0.65273940200064429</v>
      </c>
      <c r="S267">
        <v>0.99190178577849997</v>
      </c>
      <c r="T267">
        <v>1.148269836665025</v>
      </c>
      <c r="U267">
        <v>0.35500466420515842</v>
      </c>
      <c r="V267">
        <v>0.80428089830124272</v>
      </c>
      <c r="W267">
        <v>0.53965115404856778</v>
      </c>
      <c r="X267">
        <v>0</v>
      </c>
      <c r="Y267">
        <v>0</v>
      </c>
      <c r="Z267">
        <v>0</v>
      </c>
    </row>
    <row r="268" spans="1:26" x14ac:dyDescent="0.2">
      <c r="A268" t="s">
        <v>24</v>
      </c>
      <c r="B268" t="s">
        <v>39</v>
      </c>
      <c r="C268">
        <v>5.2278478529532948E-2</v>
      </c>
      <c r="D268">
        <v>0.1173467371855297</v>
      </c>
      <c r="E268">
        <v>0.1098218982490419</v>
      </c>
      <c r="F268">
        <v>1.3313805999999999E-2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3.8804652891188101E-3</v>
      </c>
      <c r="M268">
        <v>0</v>
      </c>
      <c r="N268">
        <v>0</v>
      </c>
      <c r="O268">
        <v>0.3007428442913776</v>
      </c>
      <c r="P268">
        <v>0.4076609509477287</v>
      </c>
      <c r="Q268">
        <v>0.54136179117571936</v>
      </c>
      <c r="R268">
        <v>0.61751900886509004</v>
      </c>
      <c r="S268">
        <v>0.42163934897837341</v>
      </c>
      <c r="T268">
        <v>0.45158308764496702</v>
      </c>
      <c r="U268">
        <v>0.3738793339403319</v>
      </c>
      <c r="V268">
        <v>0.55265563412725727</v>
      </c>
      <c r="W268">
        <v>0.42862942635892082</v>
      </c>
      <c r="X268">
        <v>0</v>
      </c>
      <c r="Y268">
        <v>0</v>
      </c>
      <c r="Z268">
        <v>0</v>
      </c>
    </row>
    <row r="269" spans="1:26" x14ac:dyDescent="0.2">
      <c r="A269" t="s">
        <v>24</v>
      </c>
      <c r="B269" t="s">
        <v>216</v>
      </c>
      <c r="C269">
        <v>9.4554624852602395E-2</v>
      </c>
      <c r="D269">
        <v>8.0259422114098297E-2</v>
      </c>
      <c r="E269">
        <v>7.3812654993612434E-2</v>
      </c>
      <c r="F269">
        <v>2.7926544000000001E-2</v>
      </c>
      <c r="G269">
        <v>0</v>
      </c>
      <c r="H269">
        <v>2.9107329000000001E-2</v>
      </c>
      <c r="I269">
        <v>0</v>
      </c>
      <c r="J269">
        <v>0</v>
      </c>
      <c r="K269">
        <v>0</v>
      </c>
      <c r="L269">
        <v>1.2071064649566299E-3</v>
      </c>
      <c r="M269">
        <v>0</v>
      </c>
      <c r="N269">
        <v>0</v>
      </c>
      <c r="O269">
        <v>0.19162898737533909</v>
      </c>
      <c r="P269">
        <v>0.1452601938509156</v>
      </c>
      <c r="Q269">
        <v>4.2715528245103697E-2</v>
      </c>
      <c r="R269">
        <v>0.29653143918877217</v>
      </c>
      <c r="S269">
        <v>0.29194565709888343</v>
      </c>
      <c r="T269">
        <v>0.27650229721433223</v>
      </c>
      <c r="U269">
        <v>0.1119688531641185</v>
      </c>
      <c r="V269">
        <v>0.20604473955552949</v>
      </c>
      <c r="W269">
        <v>0.1410946545372527</v>
      </c>
      <c r="X269">
        <v>0</v>
      </c>
      <c r="Y269">
        <v>0.446106</v>
      </c>
      <c r="Z269">
        <v>0.49254703999999999</v>
      </c>
    </row>
    <row r="270" spans="1:26" x14ac:dyDescent="0.2">
      <c r="A270" t="s">
        <v>24</v>
      </c>
      <c r="B270" t="s">
        <v>283</v>
      </c>
      <c r="C270">
        <v>0.52398794227462098</v>
      </c>
      <c r="D270">
        <v>0.62250582796633591</v>
      </c>
      <c r="E270">
        <v>0.53104193281731404</v>
      </c>
      <c r="F270">
        <v>0.17933540000000001</v>
      </c>
      <c r="G270">
        <v>0.20395082</v>
      </c>
      <c r="H270">
        <v>0.21567462000000001</v>
      </c>
      <c r="I270">
        <v>5.4942970350994803E-2</v>
      </c>
      <c r="J270">
        <v>5.4581645128370902E-2</v>
      </c>
      <c r="K270">
        <v>1.8706426879957602E-2</v>
      </c>
      <c r="L270">
        <v>0</v>
      </c>
      <c r="M270">
        <v>3.9490563131988794E-3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">
      <c r="A271" t="s">
        <v>24</v>
      </c>
      <c r="B271" t="s">
        <v>299</v>
      </c>
      <c r="C271">
        <v>1.6411409938686961</v>
      </c>
      <c r="D271">
        <v>1.6269283089584159</v>
      </c>
      <c r="E271">
        <v>1.731712632449085</v>
      </c>
      <c r="F271">
        <v>0.20043637</v>
      </c>
      <c r="G271">
        <v>8.241486499999999E-2</v>
      </c>
      <c r="H271">
        <v>0.27409656199999999</v>
      </c>
      <c r="I271">
        <v>0.22563381862193679</v>
      </c>
      <c r="J271">
        <v>0.1582828976838333</v>
      </c>
      <c r="K271">
        <v>8.3151174921754792E-2</v>
      </c>
      <c r="L271">
        <v>0.37679262949960401</v>
      </c>
      <c r="M271">
        <v>0.28136897177414139</v>
      </c>
      <c r="N271">
        <v>0.2059908971953486</v>
      </c>
      <c r="O271">
        <v>1.9778992913943509</v>
      </c>
      <c r="P271">
        <v>2.3525968963684938</v>
      </c>
      <c r="Q271">
        <v>2.1821630309328022</v>
      </c>
      <c r="R271">
        <v>1.4282942414622939</v>
      </c>
      <c r="S271">
        <v>1.630294225527356</v>
      </c>
      <c r="T271">
        <v>1.217314451873192</v>
      </c>
      <c r="U271">
        <v>1.8897124950425359</v>
      </c>
      <c r="V271">
        <v>1.1250484471322959</v>
      </c>
      <c r="W271">
        <v>1.676731072851666</v>
      </c>
      <c r="X271">
        <v>4.2519091500000004</v>
      </c>
      <c r="Y271">
        <v>2.20439198</v>
      </c>
      <c r="Z271">
        <v>3.2542378300000001</v>
      </c>
    </row>
    <row r="272" spans="1:26" x14ac:dyDescent="0.2">
      <c r="A272" t="s">
        <v>174</v>
      </c>
      <c r="B272" t="s">
        <v>284</v>
      </c>
      <c r="C272">
        <v>1.16670698986253</v>
      </c>
      <c r="D272">
        <v>1.0939784266466479</v>
      </c>
      <c r="E272">
        <v>1.034545727812429</v>
      </c>
      <c r="F272">
        <v>0.31836186700000002</v>
      </c>
      <c r="G272">
        <v>0.26741722200000001</v>
      </c>
      <c r="H272">
        <v>0.23329356500000001</v>
      </c>
      <c r="I272">
        <v>2.927317143984395E-2</v>
      </c>
      <c r="J272">
        <v>2.8191759875788491E-2</v>
      </c>
      <c r="K272">
        <v>1.6198643747826549E-2</v>
      </c>
      <c r="L272">
        <v>0</v>
      </c>
      <c r="M272">
        <v>0</v>
      </c>
      <c r="N272">
        <v>0</v>
      </c>
      <c r="O272">
        <v>0</v>
      </c>
      <c r="P272">
        <v>2.1208019330791601E-2</v>
      </c>
      <c r="Q272">
        <v>2.031864058190919E-2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">
      <c r="A273" t="s">
        <v>174</v>
      </c>
      <c r="B273" t="s">
        <v>47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7.1084226829005503E-2</v>
      </c>
      <c r="J273">
        <v>9.0726071273403305E-2</v>
      </c>
      <c r="K273">
        <v>3.9621524500306399E-2</v>
      </c>
      <c r="L273">
        <v>1.1849201537273001E-2</v>
      </c>
      <c r="M273">
        <v>1.66264734755051E-2</v>
      </c>
      <c r="N273">
        <v>0</v>
      </c>
      <c r="O273">
        <v>0.76002403418493558</v>
      </c>
      <c r="P273">
        <v>0.52589139229017901</v>
      </c>
      <c r="Q273">
        <v>0.13542044951981</v>
      </c>
      <c r="R273">
        <v>4.8075802348940412E-2</v>
      </c>
      <c r="S273">
        <v>0.21927029767769701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">
      <c r="A274" t="s">
        <v>174</v>
      </c>
      <c r="B274" t="s">
        <v>285</v>
      </c>
      <c r="C274">
        <v>4.0615266579917299E-2</v>
      </c>
      <c r="D274">
        <v>4.6770488194487557E-2</v>
      </c>
      <c r="E274">
        <v>3.223491395506127E-2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0.17825577609269949</v>
      </c>
      <c r="P274">
        <v>2.2038033254856901E-2</v>
      </c>
      <c r="Q274">
        <v>0.20565657146760899</v>
      </c>
      <c r="R274">
        <v>0.32653425023825422</v>
      </c>
      <c r="S274">
        <v>2.7516667505735601E-2</v>
      </c>
      <c r="T274">
        <v>5.1570943780654903E-2</v>
      </c>
      <c r="U274">
        <v>0.19532685744289871</v>
      </c>
      <c r="V274">
        <v>0.1201415753179229</v>
      </c>
      <c r="W274">
        <v>0.1675889030899935</v>
      </c>
      <c r="X274">
        <v>0</v>
      </c>
      <c r="Y274">
        <v>0</v>
      </c>
      <c r="Z274">
        <v>0</v>
      </c>
    </row>
    <row r="275" spans="1:26" x14ac:dyDescent="0.2">
      <c r="A275" t="s">
        <v>174</v>
      </c>
      <c r="B275" t="s">
        <v>286</v>
      </c>
      <c r="C275">
        <v>0.177581174952538</v>
      </c>
      <c r="D275">
        <v>0.25400337542263302</v>
      </c>
      <c r="E275">
        <v>0.21278274592319801</v>
      </c>
      <c r="F275">
        <v>0</v>
      </c>
      <c r="G275">
        <v>2.9312408000000002E-2</v>
      </c>
      <c r="H275">
        <v>3.0997416E-2</v>
      </c>
      <c r="I275">
        <v>0</v>
      </c>
      <c r="J275">
        <v>0</v>
      </c>
      <c r="K275">
        <v>2.85864507261497E-3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1.6539682653828E-3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">
      <c r="A276" t="s">
        <v>174</v>
      </c>
      <c r="B276" t="s">
        <v>42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5.2583171371123401E-2</v>
      </c>
      <c r="P276">
        <v>3.5454005980754502E-2</v>
      </c>
      <c r="Q276">
        <v>0.202718980004962</v>
      </c>
      <c r="R276">
        <v>0</v>
      </c>
      <c r="S276">
        <v>0</v>
      </c>
      <c r="T276">
        <v>7.7261963392995708E-2</v>
      </c>
      <c r="U276">
        <v>8.0877876027102696E-2</v>
      </c>
      <c r="V276">
        <v>1.31629944349785E-2</v>
      </c>
      <c r="W276">
        <v>0.109465453725284</v>
      </c>
      <c r="X276">
        <v>0</v>
      </c>
      <c r="Y276">
        <v>0</v>
      </c>
      <c r="Z276">
        <v>0</v>
      </c>
    </row>
    <row r="277" spans="1:26" x14ac:dyDescent="0.2">
      <c r="A277" t="s">
        <v>174</v>
      </c>
      <c r="B277" t="s">
        <v>287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1.14363782228801E-2</v>
      </c>
      <c r="P277">
        <v>4.5037951804892402E-2</v>
      </c>
      <c r="Q277">
        <v>1.9757729604953301E-2</v>
      </c>
      <c r="R277">
        <v>0</v>
      </c>
      <c r="S277">
        <v>0.19125738081025301</v>
      </c>
      <c r="T277">
        <v>0</v>
      </c>
      <c r="U277">
        <v>0</v>
      </c>
      <c r="V277">
        <v>3.5627838270674998E-2</v>
      </c>
      <c r="W277">
        <v>4.0207503195248503E-2</v>
      </c>
      <c r="X277">
        <v>0</v>
      </c>
      <c r="Y277">
        <v>0</v>
      </c>
      <c r="Z277">
        <v>0</v>
      </c>
    </row>
    <row r="278" spans="1:26" x14ac:dyDescent="0.2">
      <c r="A278" t="s">
        <v>174</v>
      </c>
      <c r="B278" t="s">
        <v>288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2.21955350048001E-2</v>
      </c>
      <c r="R278">
        <v>5.7701932767923902E-2</v>
      </c>
      <c r="S278">
        <v>6.6152197521629999E-2</v>
      </c>
      <c r="T278">
        <v>8.7874351483912705E-2</v>
      </c>
      <c r="U278">
        <v>6.4349273557029003E-3</v>
      </c>
      <c r="V278">
        <v>4.5141758137290003E-2</v>
      </c>
      <c r="W278">
        <v>0</v>
      </c>
      <c r="X278">
        <v>0</v>
      </c>
      <c r="Y278">
        <v>0</v>
      </c>
      <c r="Z278">
        <v>0</v>
      </c>
    </row>
    <row r="279" spans="1:26" x14ac:dyDescent="0.2">
      <c r="A279" t="s">
        <v>174</v>
      </c>
      <c r="B279" t="s">
        <v>289</v>
      </c>
      <c r="C279">
        <v>0.10642490186206</v>
      </c>
      <c r="D279">
        <v>5.9755705198038002E-2</v>
      </c>
      <c r="E279">
        <v>7.0196137371308295E-2</v>
      </c>
      <c r="F279">
        <v>0</v>
      </c>
      <c r="G279">
        <v>0</v>
      </c>
      <c r="H279">
        <v>0</v>
      </c>
      <c r="I279">
        <v>3.0894956258121198E-3</v>
      </c>
      <c r="J279">
        <v>1.21576017217165E-2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x14ac:dyDescent="0.2">
      <c r="A280" t="s">
        <v>174</v>
      </c>
      <c r="B280" t="s">
        <v>290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5.4486982527294702E-3</v>
      </c>
      <c r="J280">
        <v>3.10149774513073E-2</v>
      </c>
      <c r="K280">
        <v>1.8800611058671601E-2</v>
      </c>
      <c r="L280">
        <v>3.8412266890933799E-2</v>
      </c>
      <c r="M280">
        <v>7.55267774409943E-2</v>
      </c>
      <c r="N280">
        <v>2.0446319992500201E-2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2">
      <c r="A281" t="s">
        <v>174</v>
      </c>
      <c r="B281" t="s">
        <v>43</v>
      </c>
      <c r="C281">
        <v>1.192498577789987</v>
      </c>
      <c r="D281">
        <v>1.4792902581238769</v>
      </c>
      <c r="E281">
        <v>1.43041820094687</v>
      </c>
      <c r="F281">
        <v>9.6759505999999995E-2</v>
      </c>
      <c r="G281">
        <v>8.1710260000000007E-2</v>
      </c>
      <c r="H281">
        <v>0.20170145</v>
      </c>
      <c r="I281">
        <v>9.9622652263863798E-3</v>
      </c>
      <c r="J281">
        <v>3.1407348280472702E-2</v>
      </c>
      <c r="K281">
        <v>1.8781981221123768E-2</v>
      </c>
      <c r="L281">
        <v>0</v>
      </c>
      <c r="M281">
        <v>2.88737102115369E-3</v>
      </c>
      <c r="N281">
        <v>0</v>
      </c>
      <c r="O281">
        <v>0.32638490277232318</v>
      </c>
      <c r="P281">
        <v>0.45182622456143051</v>
      </c>
      <c r="Q281">
        <v>0.61813108777178072</v>
      </c>
      <c r="R281">
        <v>1.694281228360059</v>
      </c>
      <c r="S281">
        <v>1.474809950878508</v>
      </c>
      <c r="T281">
        <v>1.2428233135208431</v>
      </c>
      <c r="U281">
        <v>0.79843372080682384</v>
      </c>
      <c r="V281">
        <v>0.85898045295326475</v>
      </c>
      <c r="W281">
        <v>0.65530411247274667</v>
      </c>
      <c r="X281">
        <v>0</v>
      </c>
      <c r="Y281">
        <v>0</v>
      </c>
      <c r="Z281">
        <v>0.32678610000000002</v>
      </c>
    </row>
    <row r="282" spans="1:26" x14ac:dyDescent="0.2">
      <c r="A282" t="s">
        <v>175</v>
      </c>
      <c r="B282" t="s">
        <v>39</v>
      </c>
      <c r="C282">
        <v>8.5794683005189692E-2</v>
      </c>
      <c r="D282">
        <v>5.5166710882069099E-2</v>
      </c>
      <c r="E282">
        <v>2.3194559254527701E-2</v>
      </c>
      <c r="F282">
        <v>0</v>
      </c>
      <c r="G282">
        <v>0</v>
      </c>
      <c r="H282">
        <v>0</v>
      </c>
      <c r="I282">
        <v>3.68352663832774E-3</v>
      </c>
      <c r="J282">
        <v>4.0020140579900493E-3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x14ac:dyDescent="0.2">
      <c r="A283" t="s">
        <v>26</v>
      </c>
      <c r="B283" t="s">
        <v>260</v>
      </c>
      <c r="C283">
        <v>5.57549919026663E-3</v>
      </c>
      <c r="D283">
        <v>7.1826510050066903E-3</v>
      </c>
      <c r="E283">
        <v>1.69835424964304E-3</v>
      </c>
      <c r="F283">
        <v>0</v>
      </c>
      <c r="G283">
        <v>1.5354115E-2</v>
      </c>
      <c r="H283">
        <v>1.6236737000000001E-2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2.8555699894934349E-2</v>
      </c>
      <c r="P283">
        <v>5.7713117710712997E-2</v>
      </c>
      <c r="Q283">
        <v>7.6219172368662338E-2</v>
      </c>
      <c r="R283">
        <v>0.24486297847833119</v>
      </c>
      <c r="S283">
        <v>0.63606222535474577</v>
      </c>
      <c r="T283">
        <v>0.3617387315059068</v>
      </c>
      <c r="U283">
        <v>0.49744446244337293</v>
      </c>
      <c r="V283">
        <v>0.4605804880545829</v>
      </c>
      <c r="W283">
        <v>0.29748891060822491</v>
      </c>
      <c r="X283">
        <v>6.0882268000000002</v>
      </c>
      <c r="Y283">
        <v>7.9631450699999986</v>
      </c>
      <c r="Z283">
        <v>9.9950369999999999</v>
      </c>
    </row>
    <row r="284" spans="1:26" x14ac:dyDescent="0.2">
      <c r="A284" t="s">
        <v>26</v>
      </c>
      <c r="B284" t="s">
        <v>32</v>
      </c>
      <c r="C284">
        <v>2.2990760539066641E-2</v>
      </c>
      <c r="D284">
        <v>3.5961233440391101E-2</v>
      </c>
      <c r="E284">
        <v>8.4915833771699006E-2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1.9216170038501681</v>
      </c>
      <c r="P284">
        <v>2.056219868361342</v>
      </c>
      <c r="Q284">
        <v>1.817682358990216</v>
      </c>
      <c r="R284">
        <v>1.0929840318677031</v>
      </c>
      <c r="S284">
        <v>0.69487137072704164</v>
      </c>
      <c r="T284">
        <v>0.92710308116824081</v>
      </c>
      <c r="U284">
        <v>0.90937477307385173</v>
      </c>
      <c r="V284">
        <v>0.44330040147133121</v>
      </c>
      <c r="W284">
        <v>0.79638373054657463</v>
      </c>
      <c r="X284">
        <v>3.4862650999999998</v>
      </c>
      <c r="Y284">
        <v>2.2244619299999999</v>
      </c>
      <c r="Z284">
        <v>1.2071349099999999</v>
      </c>
    </row>
    <row r="285" spans="1:26" x14ac:dyDescent="0.2">
      <c r="A285" t="s">
        <v>26</v>
      </c>
      <c r="B285" t="s">
        <v>35</v>
      </c>
      <c r="C285">
        <v>7.4129291423365197E-3</v>
      </c>
      <c r="D285">
        <v>0</v>
      </c>
      <c r="E285">
        <v>6.3894942511460093E-3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2.28358324186245E-2</v>
      </c>
      <c r="P285">
        <v>2.7177138158532701E-2</v>
      </c>
      <c r="Q285">
        <v>1.5655169190166799E-2</v>
      </c>
      <c r="R285">
        <v>0.14598945513633599</v>
      </c>
      <c r="S285">
        <v>0.19619110634839601</v>
      </c>
      <c r="T285">
        <v>5.1631663102217597E-2</v>
      </c>
      <c r="U285">
        <v>6.8907347100651897E-2</v>
      </c>
      <c r="V285">
        <v>0.109113911091285</v>
      </c>
      <c r="W285">
        <v>0.123772648673032</v>
      </c>
      <c r="X285">
        <v>2.4748815999999998</v>
      </c>
      <c r="Y285">
        <v>2.472388</v>
      </c>
      <c r="Z285">
        <v>2.2970017999999999</v>
      </c>
    </row>
    <row r="286" spans="1:26" x14ac:dyDescent="0.2">
      <c r="A286" t="s">
        <v>26</v>
      </c>
      <c r="B286" t="s">
        <v>291</v>
      </c>
      <c r="C286">
        <v>5.1295464403336571E-2</v>
      </c>
      <c r="D286">
        <v>6.4720060057687004E-2</v>
      </c>
      <c r="E286">
        <v>3.2060193882918767E-2</v>
      </c>
      <c r="F286">
        <v>0.99604009000000004</v>
      </c>
      <c r="G286">
        <v>1.30761774</v>
      </c>
      <c r="H286">
        <v>2.3979817400000001</v>
      </c>
      <c r="I286">
        <v>0</v>
      </c>
      <c r="J286">
        <v>0</v>
      </c>
      <c r="K286">
        <v>0</v>
      </c>
      <c r="L286">
        <v>5.7667906981292497E-2</v>
      </c>
      <c r="M286">
        <v>3.3796695009820958E-2</v>
      </c>
      <c r="N286">
        <v>0.11211475818942131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x14ac:dyDescent="0.2">
      <c r="A287" t="s">
        <v>26</v>
      </c>
      <c r="B287" t="s">
        <v>204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1.21849289548151E-2</v>
      </c>
      <c r="P287">
        <v>0</v>
      </c>
      <c r="Q287">
        <v>6.8567771349674102E-3</v>
      </c>
      <c r="R287">
        <v>0.133312307597375</v>
      </c>
      <c r="S287">
        <v>0</v>
      </c>
      <c r="T287">
        <v>0</v>
      </c>
      <c r="U287">
        <v>3.10351183926088E-2</v>
      </c>
      <c r="V287">
        <v>0</v>
      </c>
      <c r="W287">
        <v>0</v>
      </c>
      <c r="X287">
        <v>1.9931479000000001</v>
      </c>
      <c r="Y287">
        <v>1.0735637</v>
      </c>
      <c r="Z287">
        <v>1.6623478</v>
      </c>
    </row>
    <row r="288" spans="1:26" x14ac:dyDescent="0.2">
      <c r="A288" t="s">
        <v>26</v>
      </c>
      <c r="B288" t="s">
        <v>38</v>
      </c>
      <c r="C288">
        <v>7.567683029165659E-3</v>
      </c>
      <c r="D288">
        <v>0</v>
      </c>
      <c r="E288">
        <v>6.5228826933193098E-3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1.2298944641174101E-2</v>
      </c>
      <c r="Q288">
        <v>1.5230890374264301E-2</v>
      </c>
      <c r="R288">
        <v>7.1421225480449504E-2</v>
      </c>
      <c r="S288">
        <v>0.14983134713721699</v>
      </c>
      <c r="T288">
        <v>5.1773341519197408E-2</v>
      </c>
      <c r="U288">
        <v>5.8188054048921099E-2</v>
      </c>
      <c r="V288">
        <v>2.53899537101362E-2</v>
      </c>
      <c r="W288">
        <v>6.3521539733854604E-2</v>
      </c>
      <c r="X288">
        <v>0.96877469999999999</v>
      </c>
      <c r="Y288">
        <v>1.2987236</v>
      </c>
      <c r="Z288">
        <v>0.22623662999999999</v>
      </c>
    </row>
    <row r="289" spans="1:26" x14ac:dyDescent="0.2">
      <c r="A289" t="s">
        <v>26</v>
      </c>
      <c r="B289" t="s">
        <v>40</v>
      </c>
      <c r="C289">
        <v>2.68421706521242E-2</v>
      </c>
      <c r="D289">
        <v>3.2427764262289499E-3</v>
      </c>
      <c r="E289">
        <v>1.6964755391899E-3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8.2676253486803006E-3</v>
      </c>
      <c r="P289">
        <v>3.5345406028073102E-2</v>
      </c>
      <c r="Q289">
        <v>3.0878868398059801E-2</v>
      </c>
      <c r="R289">
        <v>0.118208058798928</v>
      </c>
      <c r="S289">
        <v>0.112310580180232</v>
      </c>
      <c r="T289">
        <v>2.1379947781383499E-2</v>
      </c>
      <c r="U289">
        <v>2.56838506784044E-2</v>
      </c>
      <c r="V289">
        <v>4.3525634931662102E-2</v>
      </c>
      <c r="W289">
        <v>5.48154274114728E-2</v>
      </c>
      <c r="X289">
        <v>0.14361657</v>
      </c>
      <c r="Y289">
        <v>0.12033122</v>
      </c>
      <c r="Z289">
        <v>1.1179522</v>
      </c>
    </row>
    <row r="290" spans="1:26" x14ac:dyDescent="0.2">
      <c r="A290" t="s">
        <v>26</v>
      </c>
      <c r="B290" t="s">
        <v>216</v>
      </c>
      <c r="C290">
        <v>3.4045855102409997E-2</v>
      </c>
      <c r="D290">
        <v>4.5325491214305499E-3</v>
      </c>
      <c r="E290">
        <v>1.9290598932892498E-2</v>
      </c>
      <c r="F290">
        <v>0</v>
      </c>
      <c r="G290">
        <v>0</v>
      </c>
      <c r="H290">
        <v>2.2099975000000001E-2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6.1260317748037096E-3</v>
      </c>
      <c r="P290">
        <v>1.66080356207845E-2</v>
      </c>
      <c r="Q290">
        <v>0</v>
      </c>
      <c r="R290">
        <v>0.13728891418071601</v>
      </c>
      <c r="S290">
        <v>0.14865185590069299</v>
      </c>
      <c r="T290">
        <v>5.8600891899367798E-2</v>
      </c>
      <c r="U290">
        <v>5.42946995637432E-2</v>
      </c>
      <c r="V290">
        <v>0.127754173766152</v>
      </c>
      <c r="W290">
        <v>3.8230208255018397E-2</v>
      </c>
      <c r="X290">
        <v>0.80850803999999998</v>
      </c>
      <c r="Y290">
        <v>0</v>
      </c>
      <c r="Z290">
        <v>0</v>
      </c>
    </row>
    <row r="291" spans="1:26" x14ac:dyDescent="0.2">
      <c r="A291" t="s">
        <v>26</v>
      </c>
      <c r="B291" t="s">
        <v>292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0.23155057416862199</v>
      </c>
      <c r="P291">
        <v>0.23361789106649</v>
      </c>
      <c r="Q291">
        <v>0.136775984380787</v>
      </c>
      <c r="R291">
        <v>0</v>
      </c>
      <c r="S291">
        <v>0</v>
      </c>
      <c r="T291">
        <v>0</v>
      </c>
      <c r="U291">
        <v>1.7992101573540802E-2</v>
      </c>
      <c r="V291">
        <v>0</v>
      </c>
      <c r="W291">
        <v>1.94797383655364E-2</v>
      </c>
      <c r="X291">
        <v>0</v>
      </c>
      <c r="Y291">
        <v>0</v>
      </c>
      <c r="Z291">
        <v>0</v>
      </c>
    </row>
    <row r="292" spans="1:26" x14ac:dyDescent="0.2">
      <c r="A292" t="s">
        <v>26</v>
      </c>
      <c r="B292" t="s">
        <v>31</v>
      </c>
      <c r="C292">
        <v>5.9896293099502406E-3</v>
      </c>
      <c r="D292">
        <v>0</v>
      </c>
      <c r="E292">
        <v>2.6170436612309301E-3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1.0017294755122801E-2</v>
      </c>
      <c r="R292">
        <v>3.9978608599068897E-2</v>
      </c>
      <c r="S292">
        <v>2.4510403256546499E-2</v>
      </c>
      <c r="T292">
        <v>8.2126255709302889E-2</v>
      </c>
      <c r="U292">
        <v>9.9685515268987793E-2</v>
      </c>
      <c r="V292">
        <v>4.0739467776258302E-2</v>
      </c>
      <c r="W292">
        <v>4.1884068867002501E-2</v>
      </c>
      <c r="X292">
        <v>0</v>
      </c>
      <c r="Y292">
        <v>0</v>
      </c>
      <c r="Z292">
        <v>0</v>
      </c>
    </row>
    <row r="293" spans="1:26" x14ac:dyDescent="0.2">
      <c r="A293" t="s">
        <v>26</v>
      </c>
      <c r="B293" t="s">
        <v>43</v>
      </c>
      <c r="C293">
        <v>2.6255849587940489E-2</v>
      </c>
      <c r="D293">
        <v>3.866213599905173E-2</v>
      </c>
      <c r="E293">
        <v>1.5929585932216161E-2</v>
      </c>
      <c r="F293">
        <v>1.1885691E-2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0.1116582580586689</v>
      </c>
      <c r="P293">
        <v>0.1509810842153847</v>
      </c>
      <c r="Q293">
        <v>0.1082702008852325</v>
      </c>
      <c r="R293">
        <v>0.57229539330695911</v>
      </c>
      <c r="S293">
        <v>0.64060038980746958</v>
      </c>
      <c r="T293">
        <v>0.26672648644272501</v>
      </c>
      <c r="U293">
        <v>0.30229076710813729</v>
      </c>
      <c r="V293">
        <v>0.26561460214849331</v>
      </c>
      <c r="W293">
        <v>0.43783926020599961</v>
      </c>
      <c r="X293">
        <v>1.8066835800000001</v>
      </c>
      <c r="Y293">
        <v>0.87693434000000003</v>
      </c>
      <c r="Z293">
        <v>1.373650558</v>
      </c>
    </row>
    <row r="294" spans="1:26" x14ac:dyDescent="0.2">
      <c r="A294" t="s">
        <v>27</v>
      </c>
      <c r="B294" t="s">
        <v>32</v>
      </c>
      <c r="C294">
        <v>0.35066358902598782</v>
      </c>
      <c r="D294">
        <v>0.32452317921913698</v>
      </c>
      <c r="E294">
        <v>0.35116292177049679</v>
      </c>
      <c r="F294">
        <v>3.0744819999999999E-2</v>
      </c>
      <c r="G294">
        <v>6.1443380399999997E-2</v>
      </c>
      <c r="H294">
        <v>4.9942945000000002E-2</v>
      </c>
      <c r="I294">
        <v>0</v>
      </c>
      <c r="J294">
        <v>0</v>
      </c>
      <c r="K294">
        <v>0</v>
      </c>
      <c r="L294">
        <v>6.753073079142179E-3</v>
      </c>
      <c r="M294">
        <v>3.64793001480681E-3</v>
      </c>
      <c r="N294">
        <v>3.2481722429157501E-3</v>
      </c>
      <c r="O294">
        <v>17.574084703718249</v>
      </c>
      <c r="P294">
        <v>21.134970348334349</v>
      </c>
      <c r="Q294">
        <v>18.515800790309179</v>
      </c>
      <c r="R294">
        <v>6.3579905795561311</v>
      </c>
      <c r="S294">
        <v>5.2977711930841496</v>
      </c>
      <c r="T294">
        <v>5.3407703257928896</v>
      </c>
      <c r="U294">
        <v>3.4301290895583252</v>
      </c>
      <c r="V294">
        <v>3.2256795395877091</v>
      </c>
      <c r="W294">
        <v>3.7484550033832038</v>
      </c>
      <c r="X294">
        <v>12.8435396</v>
      </c>
      <c r="Y294">
        <v>4.4445493899999997</v>
      </c>
      <c r="Z294">
        <v>6.2871583600000003</v>
      </c>
    </row>
    <row r="295" spans="1:26" x14ac:dyDescent="0.2">
      <c r="A295" t="s">
        <v>27</v>
      </c>
      <c r="B295" t="s">
        <v>33</v>
      </c>
      <c r="C295">
        <v>0.44014403009636149</v>
      </c>
      <c r="D295">
        <v>0.49116632705474611</v>
      </c>
      <c r="E295">
        <v>0.5941196362816562</v>
      </c>
      <c r="F295">
        <v>0.20994079900000001</v>
      </c>
      <c r="G295">
        <v>0.14899574439999999</v>
      </c>
      <c r="H295">
        <v>0.22732435070000001</v>
      </c>
      <c r="I295">
        <v>2.3603158784400589</v>
      </c>
      <c r="J295">
        <v>1.937187829431517</v>
      </c>
      <c r="K295">
        <v>2.0794904118436102</v>
      </c>
      <c r="L295">
        <v>7.3043081782532632E-2</v>
      </c>
      <c r="M295">
        <v>4.9074983029382152E-2</v>
      </c>
      <c r="N295">
        <v>7.076130027239752E-2</v>
      </c>
      <c r="O295">
        <v>21.646197328714472</v>
      </c>
      <c r="P295">
        <v>18.690090642174781</v>
      </c>
      <c r="Q295">
        <v>12.304675336816249</v>
      </c>
      <c r="R295">
        <v>2.1927625760183198</v>
      </c>
      <c r="S295">
        <v>1.556424990830177</v>
      </c>
      <c r="T295">
        <v>1.7910445747286181</v>
      </c>
      <c r="U295">
        <v>1.082095596655178</v>
      </c>
      <c r="V295">
        <v>0.89136873203799705</v>
      </c>
      <c r="W295">
        <v>1.004774077137057</v>
      </c>
      <c r="X295">
        <v>2.8170286400000002</v>
      </c>
      <c r="Y295">
        <v>1.2627666099999999</v>
      </c>
      <c r="Z295">
        <v>0.51180456000000007</v>
      </c>
    </row>
    <row r="296" spans="1:26" x14ac:dyDescent="0.2">
      <c r="A296" t="s">
        <v>27</v>
      </c>
      <c r="B296" t="s">
        <v>214</v>
      </c>
      <c r="C296">
        <v>1.3553563371716699</v>
      </c>
      <c r="D296">
        <v>1.4880082184203201</v>
      </c>
      <c r="E296">
        <v>1.38272525738333</v>
      </c>
      <c r="F296">
        <v>0.24265839</v>
      </c>
      <c r="G296">
        <v>0.28168900000000002</v>
      </c>
      <c r="H296">
        <v>0.25853865999999998</v>
      </c>
      <c r="I296">
        <v>22.609416148559401</v>
      </c>
      <c r="J296">
        <v>22.1651460192043</v>
      </c>
      <c r="K296">
        <v>22.5793010084952</v>
      </c>
      <c r="L296">
        <v>0.18819614899422099</v>
      </c>
      <c r="M296">
        <v>0.196065913965635</v>
      </c>
      <c r="N296">
        <v>7.2377464022531202E-2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x14ac:dyDescent="0.2">
      <c r="A297" t="s">
        <v>27</v>
      </c>
      <c r="B297" t="s">
        <v>209</v>
      </c>
      <c r="C297">
        <v>3.5037609553763929</v>
      </c>
      <c r="D297">
        <v>3.1837545085599119</v>
      </c>
      <c r="E297">
        <v>3.2653171263244878</v>
      </c>
      <c r="F297">
        <v>1.680677245</v>
      </c>
      <c r="G297">
        <v>1.28858472</v>
      </c>
      <c r="H297">
        <v>2.6543981969999999</v>
      </c>
      <c r="I297">
        <v>0.31813433294414101</v>
      </c>
      <c r="J297">
        <v>0.46894544866678101</v>
      </c>
      <c r="K297">
        <v>0.30335792471889661</v>
      </c>
      <c r="L297">
        <v>7.0491668215022614</v>
      </c>
      <c r="M297">
        <v>7.5398213718797908</v>
      </c>
      <c r="N297">
        <v>7.2373463225012529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x14ac:dyDescent="0.2">
      <c r="A298" t="s">
        <v>27</v>
      </c>
      <c r="B298" t="s">
        <v>40</v>
      </c>
      <c r="C298">
        <v>1.094687582417343</v>
      </c>
      <c r="D298">
        <v>1.0789414268216271</v>
      </c>
      <c r="E298">
        <v>1.031838506049447</v>
      </c>
      <c r="F298">
        <v>0.98790829199999997</v>
      </c>
      <c r="G298">
        <v>1.0145899469999999</v>
      </c>
      <c r="H298">
        <v>1.494543875</v>
      </c>
      <c r="I298">
        <v>0.5730831812631757</v>
      </c>
      <c r="J298">
        <v>2.1142531650685541</v>
      </c>
      <c r="K298">
        <v>1.007196292248332</v>
      </c>
      <c r="L298">
        <v>0.43515851905455788</v>
      </c>
      <c r="M298">
        <v>0.4594335556218983</v>
      </c>
      <c r="N298">
        <v>0.35862198273187129</v>
      </c>
      <c r="O298">
        <v>4.6618229056523921</v>
      </c>
      <c r="P298">
        <v>3.863373502387256</v>
      </c>
      <c r="Q298">
        <v>2.8419561410763059</v>
      </c>
      <c r="R298">
        <v>0.62988762658292941</v>
      </c>
      <c r="S298">
        <v>0.7038757794351389</v>
      </c>
      <c r="T298">
        <v>0.43709140956531728</v>
      </c>
      <c r="U298">
        <v>0.34053724940370789</v>
      </c>
      <c r="V298">
        <v>0.31027371715650109</v>
      </c>
      <c r="W298">
        <v>0.28617397188181343</v>
      </c>
      <c r="X298">
        <v>1.5783779600000001</v>
      </c>
      <c r="Y298">
        <v>4.0292010700000001</v>
      </c>
      <c r="Z298">
        <v>2.7645900600000002</v>
      </c>
    </row>
    <row r="299" spans="1:26" x14ac:dyDescent="0.2">
      <c r="A299" t="s">
        <v>27</v>
      </c>
      <c r="B299" t="s">
        <v>293</v>
      </c>
      <c r="C299">
        <v>0.2334822022131981</v>
      </c>
      <c r="D299">
        <v>0.17772616178321629</v>
      </c>
      <c r="E299">
        <v>0.17881941835124329</v>
      </c>
      <c r="F299">
        <v>0</v>
      </c>
      <c r="G299">
        <v>2.1292979E-2</v>
      </c>
      <c r="H299">
        <v>5.0770073999999998E-2</v>
      </c>
      <c r="I299">
        <v>7.0891856965882001E-4</v>
      </c>
      <c r="J299">
        <v>0</v>
      </c>
      <c r="K299">
        <v>1.44277741898091E-3</v>
      </c>
      <c r="L299">
        <v>5.1211873771501801E-3</v>
      </c>
      <c r="M299">
        <v>0</v>
      </c>
      <c r="N299">
        <v>0</v>
      </c>
      <c r="O299">
        <v>2.0465981222453841E-2</v>
      </c>
      <c r="P299">
        <v>4.9253957110775841E-2</v>
      </c>
      <c r="Q299">
        <v>0.17047738557955411</v>
      </c>
      <c r="R299">
        <v>0.77765284224527487</v>
      </c>
      <c r="S299">
        <v>1.035089864286588</v>
      </c>
      <c r="T299">
        <v>0.8081336904528984</v>
      </c>
      <c r="U299">
        <v>1.0351239784832109</v>
      </c>
      <c r="V299">
        <v>0.72569782152442119</v>
      </c>
      <c r="W299">
        <v>0.67052101345763493</v>
      </c>
      <c r="X299">
        <v>7.9598851899999996</v>
      </c>
      <c r="Y299">
        <v>9.3608503400000007</v>
      </c>
      <c r="Z299">
        <v>8.3077519199999994</v>
      </c>
    </row>
    <row r="300" spans="1:26" x14ac:dyDescent="0.2">
      <c r="A300" t="s">
        <v>27</v>
      </c>
      <c r="B300" t="s">
        <v>260</v>
      </c>
      <c r="C300">
        <v>0.1191910077093592</v>
      </c>
      <c r="D300">
        <v>9.4147762230262527E-2</v>
      </c>
      <c r="E300">
        <v>0.11691403020966409</v>
      </c>
      <c r="F300">
        <v>4.7889358999999999E-2</v>
      </c>
      <c r="G300">
        <v>7.321918999999999E-2</v>
      </c>
      <c r="H300">
        <v>3.8172348999999987E-2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8.306899086633833E-2</v>
      </c>
      <c r="P300">
        <v>0.1129439507887072</v>
      </c>
      <c r="Q300">
        <v>0.1548869368867283</v>
      </c>
      <c r="R300">
        <v>0.93131440560015877</v>
      </c>
      <c r="S300">
        <v>1.7292276490006691</v>
      </c>
      <c r="T300">
        <v>1.3893255432692631</v>
      </c>
      <c r="U300">
        <v>1.715355010250079</v>
      </c>
      <c r="V300">
        <v>2.0604473955552969</v>
      </c>
      <c r="W300">
        <v>1.253138861739719</v>
      </c>
      <c r="X300">
        <v>7.0375846299999996</v>
      </c>
      <c r="Y300">
        <v>4.62716028</v>
      </c>
      <c r="Z300">
        <v>4.7468939399999996</v>
      </c>
    </row>
    <row r="301" spans="1:26" x14ac:dyDescent="0.2">
      <c r="A301" t="s">
        <v>27</v>
      </c>
      <c r="B301" t="s">
        <v>182</v>
      </c>
      <c r="C301">
        <v>0.53065107793710897</v>
      </c>
      <c r="D301">
        <v>0.62151521480218797</v>
      </c>
      <c r="E301">
        <v>0.57488915608326396</v>
      </c>
      <c r="F301">
        <v>0.183075455</v>
      </c>
      <c r="G301">
        <v>0.28870991000000001</v>
      </c>
      <c r="H301">
        <v>0.15395647200000001</v>
      </c>
      <c r="I301">
        <v>2.0597824973705041E-2</v>
      </c>
      <c r="J301">
        <v>9.6992216575225693E-2</v>
      </c>
      <c r="K301">
        <v>5.3443828969811341E-2</v>
      </c>
      <c r="L301">
        <v>5.9882559236839779</v>
      </c>
      <c r="M301">
        <v>9.230504438171458</v>
      </c>
      <c r="N301">
        <v>6.5647119095687723</v>
      </c>
      <c r="O301">
        <v>6.8074479119462593E-3</v>
      </c>
      <c r="P301">
        <v>0</v>
      </c>
      <c r="Q301">
        <v>0</v>
      </c>
      <c r="R301">
        <v>3.8339972438002599E-2</v>
      </c>
      <c r="S301">
        <v>2.3927849658019501E-2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x14ac:dyDescent="0.2">
      <c r="A302" t="s">
        <v>27</v>
      </c>
      <c r="B302" t="s">
        <v>195</v>
      </c>
      <c r="C302">
        <v>0.36146366662089402</v>
      </c>
      <c r="D302">
        <v>0.34041814600114012</v>
      </c>
      <c r="E302">
        <v>0.41598218982490393</v>
      </c>
      <c r="F302">
        <v>5.3368484000000001E-2</v>
      </c>
      <c r="G302">
        <v>9.5745609000000009E-2</v>
      </c>
      <c r="H302">
        <v>0</v>
      </c>
      <c r="I302">
        <v>6.7945525485889799</v>
      </c>
      <c r="J302">
        <v>6.7205561898603303</v>
      </c>
      <c r="K302">
        <v>7.2980598059184896</v>
      </c>
      <c r="L302">
        <v>0.1845815527239657</v>
      </c>
      <c r="M302">
        <v>9.4301571965313691E-2</v>
      </c>
      <c r="N302">
        <v>6.3283902137587902E-2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2">
      <c r="A303" t="s">
        <v>27</v>
      </c>
      <c r="B303" t="s">
        <v>185</v>
      </c>
      <c r="C303">
        <v>4.6606508817702093</v>
      </c>
      <c r="D303">
        <v>4.8284517647590102</v>
      </c>
      <c r="E303">
        <v>4.8702694070789763</v>
      </c>
      <c r="F303">
        <v>0.38047186</v>
      </c>
      <c r="G303">
        <v>0.61267959999999999</v>
      </c>
      <c r="H303">
        <v>0.52621162799999999</v>
      </c>
      <c r="I303">
        <v>1.4894022908044551</v>
      </c>
      <c r="J303">
        <v>1.133950854290656</v>
      </c>
      <c r="K303">
        <v>1.4767168430291331</v>
      </c>
      <c r="L303">
        <v>4.4955089527572142E-2</v>
      </c>
      <c r="M303">
        <v>4.1384217368448668E-2</v>
      </c>
      <c r="N303">
        <v>1.7632557777193879E-2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x14ac:dyDescent="0.2">
      <c r="A304" t="s">
        <v>27</v>
      </c>
      <c r="B304" t="s">
        <v>299</v>
      </c>
      <c r="C304">
        <v>19.76038213311886</v>
      </c>
      <c r="D304">
        <v>21.127949966979561</v>
      </c>
      <c r="E304">
        <v>20.47511648004809</v>
      </c>
      <c r="F304">
        <v>6.9787220386999991</v>
      </c>
      <c r="G304">
        <v>7.3391817056999997</v>
      </c>
      <c r="H304">
        <v>10.163947240100001</v>
      </c>
      <c r="I304">
        <v>4.1115237563421942</v>
      </c>
      <c r="J304">
        <v>5.1950798718816626</v>
      </c>
      <c r="K304">
        <v>3.965666244390349</v>
      </c>
      <c r="L304">
        <v>13.01478965176659</v>
      </c>
      <c r="M304">
        <v>12.762585143460869</v>
      </c>
      <c r="N304">
        <v>11.935357411180309</v>
      </c>
      <c r="O304">
        <v>15.83768869017049</v>
      </c>
      <c r="P304">
        <v>18.0034247770792</v>
      </c>
      <c r="Q304">
        <v>16.423318795191989</v>
      </c>
      <c r="R304">
        <v>21.55346136178207</v>
      </c>
      <c r="S304">
        <v>20.550743295239599</v>
      </c>
      <c r="T304">
        <v>19.597349938943349</v>
      </c>
      <c r="U304">
        <v>17.20791183255783</v>
      </c>
      <c r="V304">
        <v>16.90276203499894</v>
      </c>
      <c r="W304">
        <v>16.625629651905871</v>
      </c>
      <c r="X304">
        <v>91.122780879000004</v>
      </c>
      <c r="Y304">
        <v>82.062673457000002</v>
      </c>
      <c r="Z304">
        <v>77.497241803000009</v>
      </c>
    </row>
    <row r="305" spans="1:26" x14ac:dyDescent="0.2">
      <c r="A305" t="s">
        <v>28</v>
      </c>
      <c r="B305" t="s">
        <v>260</v>
      </c>
      <c r="C305">
        <v>1.882548338793312E-2</v>
      </c>
      <c r="D305">
        <v>1.51978686294542E-2</v>
      </c>
      <c r="E305">
        <v>3.1923048019839251E-2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5.67023468371453E-3</v>
      </c>
      <c r="R305">
        <v>4.81306520949175E-2</v>
      </c>
      <c r="S305">
        <v>0.17102622929597311</v>
      </c>
      <c r="T305">
        <v>0.15845718950500251</v>
      </c>
      <c r="U305">
        <v>0.4496349631052986</v>
      </c>
      <c r="V305">
        <v>0.71877993667137174</v>
      </c>
      <c r="W305">
        <v>0.44591384106458148</v>
      </c>
      <c r="X305">
        <v>11.69958817</v>
      </c>
      <c r="Y305">
        <v>7.1041245499999999</v>
      </c>
      <c r="Z305">
        <v>7.4858038999999996</v>
      </c>
    </row>
    <row r="306" spans="1:26" x14ac:dyDescent="0.2">
      <c r="A306" t="s">
        <v>28</v>
      </c>
      <c r="B306" t="s">
        <v>33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1.2030989328956161</v>
      </c>
      <c r="P306">
        <v>1.4382900161736361</v>
      </c>
      <c r="Q306">
        <v>1.038645328078988</v>
      </c>
      <c r="R306">
        <v>0</v>
      </c>
      <c r="S306">
        <v>0</v>
      </c>
      <c r="T306">
        <v>7.1311469879843199E-3</v>
      </c>
      <c r="U306">
        <v>0</v>
      </c>
      <c r="V306">
        <v>0</v>
      </c>
      <c r="W306">
        <v>0</v>
      </c>
      <c r="X306">
        <v>0.18242098000000001</v>
      </c>
      <c r="Y306">
        <v>0</v>
      </c>
      <c r="Z306">
        <v>0</v>
      </c>
    </row>
    <row r="307" spans="1:26" x14ac:dyDescent="0.2">
      <c r="A307" t="s">
        <v>28</v>
      </c>
      <c r="B307" t="s">
        <v>47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3.0898518662993799E-2</v>
      </c>
      <c r="J307">
        <v>6.5610128219377395E-2</v>
      </c>
      <c r="K307">
        <v>2.7840222233262098E-2</v>
      </c>
      <c r="L307">
        <v>2.6162733842497999E-2</v>
      </c>
      <c r="M307">
        <v>4.4915138307308901E-2</v>
      </c>
      <c r="N307">
        <v>4.1790508735074601E-3</v>
      </c>
      <c r="O307">
        <v>0.58592388950988394</v>
      </c>
      <c r="P307">
        <v>0.51209531972989653</v>
      </c>
      <c r="Q307">
        <v>6.7686853469198394E-2</v>
      </c>
      <c r="R307">
        <v>7.5096158460916107E-2</v>
      </c>
      <c r="S307">
        <v>0.19468078220406601</v>
      </c>
      <c r="T307">
        <v>0</v>
      </c>
      <c r="U307">
        <v>0</v>
      </c>
      <c r="V307">
        <v>0</v>
      </c>
      <c r="W307">
        <v>0</v>
      </c>
      <c r="X307">
        <v>0.53826713999999998</v>
      </c>
      <c r="Y307">
        <v>0.67649239999999999</v>
      </c>
      <c r="Z307">
        <v>0.76817120000000005</v>
      </c>
    </row>
    <row r="308" spans="1:26" x14ac:dyDescent="0.2">
      <c r="A308" t="s">
        <v>28</v>
      </c>
      <c r="B308" t="s">
        <v>294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0.134496684783519</v>
      </c>
      <c r="V308">
        <v>0.13241241124119699</v>
      </c>
      <c r="W308">
        <v>0.108232463724532</v>
      </c>
      <c r="X308">
        <v>1.2165174000000001</v>
      </c>
      <c r="Y308">
        <v>0.76445719999999995</v>
      </c>
      <c r="Z308">
        <v>1.0258868000000001</v>
      </c>
    </row>
    <row r="309" spans="1:26" x14ac:dyDescent="0.2">
      <c r="A309" t="s">
        <v>28</v>
      </c>
      <c r="B309" t="s">
        <v>295</v>
      </c>
      <c r="C309">
        <v>0</v>
      </c>
      <c r="D309">
        <v>0</v>
      </c>
      <c r="E309">
        <v>6.1189599458931401E-3</v>
      </c>
      <c r="F309">
        <v>0</v>
      </c>
      <c r="G309">
        <v>1.8966855000000001E-2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2.7008247484970199E-2</v>
      </c>
      <c r="P309">
        <v>6.3181901042171709E-3</v>
      </c>
      <c r="Q309">
        <v>5.8572050093664901E-3</v>
      </c>
      <c r="R309">
        <v>0.16437097625691599</v>
      </c>
      <c r="S309">
        <v>6.3563070417065201E-2</v>
      </c>
      <c r="T309">
        <v>5.4937492831746787E-2</v>
      </c>
      <c r="U309">
        <v>4.1838199560950296E-3</v>
      </c>
      <c r="V309">
        <v>1.7704227515045998E-2</v>
      </c>
      <c r="W309">
        <v>6.1220960830012799E-2</v>
      </c>
      <c r="X309">
        <v>2.9350874</v>
      </c>
      <c r="Y309">
        <v>0</v>
      </c>
      <c r="Z309">
        <v>0</v>
      </c>
    </row>
    <row r="310" spans="1:26" x14ac:dyDescent="0.2">
      <c r="A310" t="s">
        <v>28</v>
      </c>
      <c r="B310" t="s">
        <v>194</v>
      </c>
      <c r="C310">
        <v>9.7298781803558491E-3</v>
      </c>
      <c r="D310">
        <v>1.0922145143173201E-3</v>
      </c>
      <c r="E310">
        <v>1.67750056361314E-2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0.54527724909284303</v>
      </c>
      <c r="P310">
        <v>0.61838364484712605</v>
      </c>
      <c r="Q310">
        <v>6.9563747892089398E-2</v>
      </c>
      <c r="R310">
        <v>0.14496787861751259</v>
      </c>
      <c r="S310">
        <v>0.13382910322705929</v>
      </c>
      <c r="T310">
        <v>5.6414996323107702E-2</v>
      </c>
      <c r="U310">
        <v>9.7071326030733499E-2</v>
      </c>
      <c r="V310">
        <v>0</v>
      </c>
      <c r="W310">
        <v>1.3810991654762799E-2</v>
      </c>
      <c r="X310">
        <v>0</v>
      </c>
      <c r="Y310">
        <v>0</v>
      </c>
      <c r="Z310">
        <v>0.27908027000000002</v>
      </c>
    </row>
    <row r="311" spans="1:26" x14ac:dyDescent="0.2">
      <c r="A311" t="s">
        <v>28</v>
      </c>
      <c r="B311" t="s">
        <v>186</v>
      </c>
      <c r="C311">
        <v>0.21166190417028999</v>
      </c>
      <c r="D311">
        <v>0.243620281887302</v>
      </c>
      <c r="E311">
        <v>0.24917712482152229</v>
      </c>
      <c r="F311">
        <v>4.7840722000000002E-2</v>
      </c>
      <c r="G311">
        <v>6.6014215000000001E-2</v>
      </c>
      <c r="H311">
        <v>9.9727029999999994E-3</v>
      </c>
      <c r="I311">
        <v>3.1118497163880401E-2</v>
      </c>
      <c r="J311">
        <v>3.0764904197525901E-2</v>
      </c>
      <c r="K311">
        <v>2.9720800834616701E-2</v>
      </c>
      <c r="L311">
        <v>2.2476016780919029E-2</v>
      </c>
      <c r="M311">
        <v>2.6497393536797201E-2</v>
      </c>
      <c r="N311">
        <v>3.5024803624220779E-2</v>
      </c>
      <c r="O311">
        <v>0.49163335112400097</v>
      </c>
      <c r="P311">
        <v>0.24066525228156899</v>
      </c>
      <c r="Q311">
        <v>0.15766991827239399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x14ac:dyDescent="0.2">
      <c r="A312" t="s">
        <v>28</v>
      </c>
      <c r="B312" t="s">
        <v>296</v>
      </c>
      <c r="C312">
        <v>0</v>
      </c>
      <c r="D312">
        <v>0</v>
      </c>
      <c r="E312">
        <v>0</v>
      </c>
      <c r="F312">
        <v>3.1513434E-2</v>
      </c>
      <c r="G312">
        <v>3.1060448000000001E-2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1.17552675481439E-2</v>
      </c>
      <c r="P312">
        <v>2.5575288856481301E-2</v>
      </c>
      <c r="Q312">
        <v>3.49598553137326E-2</v>
      </c>
      <c r="R312">
        <v>6.1877369680431712E-2</v>
      </c>
      <c r="S312">
        <v>0</v>
      </c>
      <c r="T312">
        <v>0</v>
      </c>
      <c r="U312">
        <v>0</v>
      </c>
      <c r="V312">
        <v>2.6399116616817899E-2</v>
      </c>
      <c r="W312">
        <v>0</v>
      </c>
      <c r="X312">
        <v>0.2002727</v>
      </c>
      <c r="Y312">
        <v>0.67120486000000001</v>
      </c>
      <c r="Z312">
        <v>0.15589789000000001</v>
      </c>
    </row>
    <row r="313" spans="1:26" x14ac:dyDescent="0.2">
      <c r="A313" t="s">
        <v>28</v>
      </c>
      <c r="B313" t="s">
        <v>297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3.5749171726936701E-3</v>
      </c>
      <c r="P313">
        <v>2.69327882649994E-2</v>
      </c>
      <c r="Q313">
        <v>3.82929609267975E-3</v>
      </c>
      <c r="R313">
        <v>3.17442904842547E-2</v>
      </c>
      <c r="S313">
        <v>5.2386671749027301E-2</v>
      </c>
      <c r="T313">
        <v>0</v>
      </c>
      <c r="U313">
        <v>3.3621378258659497E-2</v>
      </c>
      <c r="V313">
        <v>3.5547397749127997E-2</v>
      </c>
      <c r="W313">
        <v>0</v>
      </c>
      <c r="X313">
        <v>0.49239949999999999</v>
      </c>
      <c r="Y313">
        <v>0.41256407</v>
      </c>
      <c r="Z313">
        <v>0</v>
      </c>
    </row>
    <row r="314" spans="1:26" x14ac:dyDescent="0.2">
      <c r="A314" t="s">
        <v>28</v>
      </c>
      <c r="B314" t="s">
        <v>215</v>
      </c>
      <c r="C314">
        <v>6.6260819149376697E-3</v>
      </c>
      <c r="D314">
        <v>2.8307265060989002E-3</v>
      </c>
      <c r="E314">
        <v>1.51517998046141E-2</v>
      </c>
      <c r="F314">
        <v>0</v>
      </c>
      <c r="G314">
        <v>1.7865862999999999E-2</v>
      </c>
      <c r="H314">
        <v>0</v>
      </c>
      <c r="I314">
        <v>0.145392430067766</v>
      </c>
      <c r="J314">
        <v>0.183840047421298</v>
      </c>
      <c r="K314">
        <v>0.103750600294765</v>
      </c>
      <c r="L314">
        <v>3.5938157032632797E-4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x14ac:dyDescent="0.2">
      <c r="A315" t="s">
        <v>28</v>
      </c>
      <c r="B315" t="s">
        <v>299</v>
      </c>
      <c r="C315">
        <v>1.333934911822981E-2</v>
      </c>
      <c r="D315">
        <v>6.4895040160755896E-2</v>
      </c>
      <c r="E315">
        <v>1.6682948823927259E-2</v>
      </c>
      <c r="F315">
        <v>0</v>
      </c>
      <c r="G315">
        <v>4.7022006999999998E-2</v>
      </c>
      <c r="H315">
        <v>0</v>
      </c>
      <c r="I315">
        <v>1.53548556023715E-2</v>
      </c>
      <c r="J315">
        <v>2.9505275956256499E-2</v>
      </c>
      <c r="K315">
        <v>2.2700457052014501E-2</v>
      </c>
      <c r="L315">
        <v>1.26908145004352E-2</v>
      </c>
      <c r="M315">
        <v>0</v>
      </c>
      <c r="N315">
        <v>3.2798617282124901E-3</v>
      </c>
      <c r="O315">
        <v>0.55602885444884198</v>
      </c>
      <c r="P315">
        <v>0.18433678396754391</v>
      </c>
      <c r="Q315">
        <v>0.17056008399282321</v>
      </c>
      <c r="R315">
        <v>9.1777337456205893E-2</v>
      </c>
      <c r="S315">
        <v>1.13418151219407E-2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 t="s">
        <v>29</v>
      </c>
      <c r="B316" t="s">
        <v>194</v>
      </c>
      <c r="C316">
        <v>0.1606367141608524</v>
      </c>
      <c r="D316">
        <v>0.16211342097390541</v>
      </c>
      <c r="E316">
        <v>0.1328999774554746</v>
      </c>
      <c r="F316">
        <v>0</v>
      </c>
      <c r="G316">
        <v>1.9457383000000002E-2</v>
      </c>
      <c r="H316">
        <v>0</v>
      </c>
      <c r="I316">
        <v>5.1102697898270204E-3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0.71758154335720004</v>
      </c>
      <c r="P316">
        <v>0.87519538295058308</v>
      </c>
      <c r="Q316">
        <v>0.48750355063839562</v>
      </c>
      <c r="R316">
        <v>0.52520688638560764</v>
      </c>
      <c r="S316">
        <v>0.3905482476643915</v>
      </c>
      <c r="T316">
        <v>0.55823320267434873</v>
      </c>
      <c r="U316">
        <v>0.19034425744178121</v>
      </c>
      <c r="V316">
        <v>0.1315641293776097</v>
      </c>
      <c r="W316">
        <v>0.26435606345387602</v>
      </c>
      <c r="X316">
        <v>0</v>
      </c>
      <c r="Y316">
        <v>0</v>
      </c>
      <c r="Z316">
        <v>0</v>
      </c>
    </row>
    <row r="317" spans="1:26" x14ac:dyDescent="0.2">
      <c r="A317" t="s">
        <v>29</v>
      </c>
      <c r="B317" t="s">
        <v>47</v>
      </c>
      <c r="C317">
        <v>0</v>
      </c>
      <c r="D317">
        <v>0</v>
      </c>
      <c r="E317">
        <v>1.4020816111820799E-2</v>
      </c>
      <c r="F317">
        <v>0</v>
      </c>
      <c r="G317">
        <v>1.4980454000000001E-2</v>
      </c>
      <c r="H317">
        <v>0</v>
      </c>
      <c r="I317">
        <v>7.0930152818262981E-2</v>
      </c>
      <c r="J317">
        <v>7.0070188910556316E-2</v>
      </c>
      <c r="K317">
        <v>9.754065444549323E-2</v>
      </c>
      <c r="L317">
        <v>9.2675216851328505E-3</v>
      </c>
      <c r="M317">
        <v>1.263870092394149E-2</v>
      </c>
      <c r="N317">
        <v>0</v>
      </c>
      <c r="O317">
        <v>0.68063401911321875</v>
      </c>
      <c r="P317">
        <v>0.54470245552250129</v>
      </c>
      <c r="Q317">
        <v>0.23579115414624721</v>
      </c>
      <c r="R317">
        <v>0.100813833105935</v>
      </c>
      <c r="S317">
        <v>0.13917996590982659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x14ac:dyDescent="0.2">
      <c r="A318" t="s">
        <v>29</v>
      </c>
      <c r="B318" t="s">
        <v>40</v>
      </c>
      <c r="C318">
        <v>0.20243116176576401</v>
      </c>
      <c r="D318">
        <v>0.219532295118055</v>
      </c>
      <c r="E318">
        <v>0.271980912301796</v>
      </c>
      <c r="F318">
        <v>3.0601012E-2</v>
      </c>
      <c r="G318">
        <v>6.7862439999999996E-2</v>
      </c>
      <c r="H318">
        <v>7.9737163999999999E-2</v>
      </c>
      <c r="I318">
        <v>0</v>
      </c>
      <c r="J318">
        <v>9.0885208798536891E-3</v>
      </c>
      <c r="K318">
        <v>0</v>
      </c>
      <c r="L318">
        <v>0.23630743993193801</v>
      </c>
      <c r="M318">
        <v>0.43089194469944597</v>
      </c>
      <c r="N318">
        <v>0.22158872593744799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x14ac:dyDescent="0.2">
      <c r="A319" t="s">
        <v>29</v>
      </c>
      <c r="B319" t="s">
        <v>190</v>
      </c>
      <c r="C319">
        <v>0.184484070158002</v>
      </c>
      <c r="D319">
        <v>0.247001349040149</v>
      </c>
      <c r="E319">
        <v>0.117571578868265</v>
      </c>
      <c r="F319">
        <v>9.0992376E-2</v>
      </c>
      <c r="G319">
        <v>8.9684420000000001E-2</v>
      </c>
      <c r="H319">
        <v>1.5806616999999999E-2</v>
      </c>
      <c r="I319">
        <v>0</v>
      </c>
      <c r="J319">
        <v>0</v>
      </c>
      <c r="K319">
        <v>0</v>
      </c>
      <c r="L319">
        <v>2.4368270763453601E-3</v>
      </c>
      <c r="M319">
        <v>4.5513089099830198E-4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x14ac:dyDescent="0.2">
      <c r="A320" t="s">
        <v>29</v>
      </c>
      <c r="B320" t="s">
        <v>215</v>
      </c>
      <c r="C320">
        <v>0</v>
      </c>
      <c r="D320">
        <v>2.0083200216749551E-2</v>
      </c>
      <c r="E320">
        <v>3.8025099571653998E-3</v>
      </c>
      <c r="F320">
        <v>0</v>
      </c>
      <c r="G320">
        <v>0</v>
      </c>
      <c r="H320">
        <v>0</v>
      </c>
      <c r="I320">
        <v>0.15502428224221321</v>
      </c>
      <c r="J320">
        <v>0.30767598589485801</v>
      </c>
      <c r="K320">
        <v>0.1272728401808336</v>
      </c>
      <c r="L320">
        <v>1.2726874896097159E-2</v>
      </c>
      <c r="M320">
        <v>5.53212028188863E-4</v>
      </c>
      <c r="N320">
        <v>1.3219796949622961E-2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1.2400641258385799E-3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x14ac:dyDescent="0.2">
      <c r="A321" t="s">
        <v>29</v>
      </c>
      <c r="B321" t="s">
        <v>295</v>
      </c>
      <c r="C321">
        <v>1.0091697127026801E-2</v>
      </c>
      <c r="D321">
        <v>5.8307885958128998E-3</v>
      </c>
      <c r="E321">
        <v>3.8814157961974899E-3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4.4949967943231001E-2</v>
      </c>
      <c r="P321">
        <v>0.1086852812156989</v>
      </c>
      <c r="Q321">
        <v>1.4856949722960301E-2</v>
      </c>
      <c r="R321">
        <v>8.972732820031129E-2</v>
      </c>
      <c r="S321">
        <v>0.15395956646505049</v>
      </c>
      <c r="T321">
        <v>1.3938457594300501E-2</v>
      </c>
      <c r="U321">
        <v>8.7022337911888403E-2</v>
      </c>
      <c r="V321">
        <v>1.6929073398319502E-2</v>
      </c>
      <c r="W321">
        <v>2.3299000075182302E-2</v>
      </c>
      <c r="X321">
        <v>0</v>
      </c>
      <c r="Y321">
        <v>0</v>
      </c>
      <c r="Z321">
        <v>0</v>
      </c>
    </row>
    <row r="322" spans="1:26" x14ac:dyDescent="0.2">
      <c r="A322" t="s">
        <v>29</v>
      </c>
      <c r="B322" t="s">
        <v>181</v>
      </c>
      <c r="C322">
        <v>5.6132068274799302E-2</v>
      </c>
      <c r="D322">
        <v>6.76636769528626E-2</v>
      </c>
      <c r="E322">
        <v>6.6628466220786095E-2</v>
      </c>
      <c r="F322">
        <v>0</v>
      </c>
      <c r="G322">
        <v>1.4881691000000001E-2</v>
      </c>
      <c r="H322">
        <v>2.3605714E-2</v>
      </c>
      <c r="I322">
        <v>6.5966832229433104E-3</v>
      </c>
      <c r="J322">
        <v>7.9972921360802699E-3</v>
      </c>
      <c r="K322">
        <v>1.24364515541424E-2</v>
      </c>
      <c r="L322">
        <v>2.2711937335588999E-2</v>
      </c>
      <c r="M322">
        <v>4.1786005886588901E-2</v>
      </c>
      <c r="N322">
        <v>4.1991208808620603E-2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x14ac:dyDescent="0.2">
      <c r="A323" t="s">
        <v>29</v>
      </c>
      <c r="B323" t="s">
        <v>41</v>
      </c>
      <c r="C323">
        <v>8.1856087603777689E-2</v>
      </c>
      <c r="D323">
        <v>0.1220994225656601</v>
      </c>
      <c r="E323">
        <v>9.6843766438716505E-2</v>
      </c>
      <c r="F323">
        <v>1.5198958E-2</v>
      </c>
      <c r="G323">
        <v>1.4980454000000001E-2</v>
      </c>
      <c r="H323">
        <v>1.8550259999999999E-2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x14ac:dyDescent="0.2">
      <c r="A324" t="s">
        <v>29</v>
      </c>
      <c r="B324" t="s">
        <v>291</v>
      </c>
      <c r="C324">
        <v>2.1421425348686698E-2</v>
      </c>
      <c r="D324">
        <v>4.6389483131353597E-2</v>
      </c>
      <c r="E324">
        <v>1.4079056135868301E-2</v>
      </c>
      <c r="F324">
        <v>0</v>
      </c>
      <c r="G324">
        <v>0</v>
      </c>
      <c r="H324">
        <v>0</v>
      </c>
      <c r="I324">
        <v>0</v>
      </c>
      <c r="J324">
        <v>2.06878782673713E-3</v>
      </c>
      <c r="K324">
        <v>0</v>
      </c>
      <c r="L324">
        <v>5.5533009319473102E-2</v>
      </c>
      <c r="M324">
        <v>4.6055116436936001E-2</v>
      </c>
      <c r="N324">
        <v>7.3275332772605506E-2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x14ac:dyDescent="0.2">
      <c r="A325" t="s">
        <v>29</v>
      </c>
      <c r="B325" t="s">
        <v>33</v>
      </c>
      <c r="C325">
        <v>0</v>
      </c>
      <c r="D325">
        <v>1.4040742141417799E-2</v>
      </c>
      <c r="E325">
        <v>8.6608551889982704E-3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2.3604523528997098E-2</v>
      </c>
      <c r="P325">
        <v>4.3738630942453699E-2</v>
      </c>
      <c r="Q325">
        <v>8.5269255246854803E-2</v>
      </c>
      <c r="R325">
        <v>0</v>
      </c>
      <c r="S325">
        <v>0</v>
      </c>
      <c r="T325">
        <v>1.6785519116466401E-2</v>
      </c>
      <c r="U325">
        <v>1.3897655608497201E-2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">
      <c r="A326" t="s">
        <v>29</v>
      </c>
      <c r="B326" t="s">
        <v>299</v>
      </c>
      <c r="C326">
        <v>0.1174058889303019</v>
      </c>
      <c r="D326">
        <v>0.14275554150697381</v>
      </c>
      <c r="E326">
        <v>0.16322048545878121</v>
      </c>
      <c r="F326">
        <v>0</v>
      </c>
      <c r="G326">
        <v>3.4278257999999999E-2</v>
      </c>
      <c r="H326">
        <v>6.9971370000000005E-2</v>
      </c>
      <c r="I326">
        <v>4.0957859422160098E-2</v>
      </c>
      <c r="J326">
        <v>6.3802359613758894E-2</v>
      </c>
      <c r="K326">
        <v>3.8978795104906719E-2</v>
      </c>
      <c r="L326">
        <v>1.25300707028232E-2</v>
      </c>
      <c r="M326">
        <v>1.0049875118622299E-2</v>
      </c>
      <c r="N326">
        <v>1.1034542859368701E-2</v>
      </c>
      <c r="O326">
        <v>1.4024416852126E-2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1.32799988299561E-2</v>
      </c>
      <c r="W326">
        <v>0</v>
      </c>
      <c r="X326">
        <v>0</v>
      </c>
      <c r="Y326">
        <v>0</v>
      </c>
      <c r="Z3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605F-B1B7-A04C-BC6A-20D7C6DFF7CD}">
  <dimension ref="A1:AZ19"/>
  <sheetViews>
    <sheetView workbookViewId="0"/>
  </sheetViews>
  <sheetFormatPr baseColWidth="10" defaultRowHeight="16" x14ac:dyDescent="0.2"/>
  <cols>
    <col min="1" max="1" width="32.83203125" customWidth="1"/>
    <col min="2" max="2" width="12.83203125" customWidth="1"/>
    <col min="4" max="4" width="19.83203125" customWidth="1"/>
    <col min="10" max="10" width="24.5" customWidth="1"/>
  </cols>
  <sheetData>
    <row r="1" spans="1:52" ht="22" x14ac:dyDescent="0.3">
      <c r="A1" s="11" t="s">
        <v>951</v>
      </c>
    </row>
    <row r="3" spans="1:52" s="3" customFormat="1" ht="22" x14ac:dyDescent="0.3">
      <c r="A3" s="15" t="s">
        <v>952</v>
      </c>
      <c r="B3" s="15" t="s">
        <v>245</v>
      </c>
      <c r="C3" s="15" t="s">
        <v>953</v>
      </c>
      <c r="D3" s="15" t="s">
        <v>954</v>
      </c>
      <c r="E3" s="15" t="s">
        <v>955</v>
      </c>
      <c r="F3" s="15" t="s">
        <v>956</v>
      </c>
      <c r="G3" s="15" t="s">
        <v>957</v>
      </c>
      <c r="H3" s="15" t="s">
        <v>958</v>
      </c>
      <c r="I3" s="16" t="s">
        <v>959</v>
      </c>
      <c r="J3" s="15" t="s">
        <v>960</v>
      </c>
      <c r="K3" s="15" t="s">
        <v>961</v>
      </c>
      <c r="L3" s="16" t="s">
        <v>25</v>
      </c>
      <c r="M3" s="16" t="s">
        <v>4</v>
      </c>
      <c r="N3" s="16" t="s">
        <v>19</v>
      </c>
      <c r="O3" s="16" t="s">
        <v>28</v>
      </c>
      <c r="P3" s="16" t="s">
        <v>8</v>
      </c>
      <c r="Q3" s="16" t="s">
        <v>9</v>
      </c>
      <c r="R3" s="16" t="s">
        <v>10</v>
      </c>
      <c r="S3" s="16" t="s">
        <v>12</v>
      </c>
      <c r="T3" s="16" t="s">
        <v>14</v>
      </c>
      <c r="U3" s="16" t="s">
        <v>15</v>
      </c>
      <c r="V3" s="16" t="s">
        <v>2</v>
      </c>
      <c r="W3" s="16" t="s">
        <v>3</v>
      </c>
      <c r="X3" s="16" t="s">
        <v>27</v>
      </c>
      <c r="Y3" s="16" t="s">
        <v>5</v>
      </c>
      <c r="Z3" s="16" t="s">
        <v>6</v>
      </c>
      <c r="AA3" s="16" t="s">
        <v>7</v>
      </c>
      <c r="AB3" s="16" t="s">
        <v>1</v>
      </c>
      <c r="AC3" s="16" t="s">
        <v>16</v>
      </c>
      <c r="AD3" s="16" t="s">
        <v>17</v>
      </c>
      <c r="AE3" s="16" t="s">
        <v>18</v>
      </c>
      <c r="AF3" s="16" t="s">
        <v>21</v>
      </c>
      <c r="AG3" s="16" t="s">
        <v>29</v>
      </c>
      <c r="AH3" s="16" t="s">
        <v>82</v>
      </c>
      <c r="AI3" s="16" t="s">
        <v>26</v>
      </c>
      <c r="AJ3" s="16" t="s">
        <v>20</v>
      </c>
      <c r="AK3" s="16" t="s">
        <v>172</v>
      </c>
      <c r="AL3" s="16" t="s">
        <v>962</v>
      </c>
      <c r="AM3" s="16" t="s">
        <v>304</v>
      </c>
      <c r="AN3" s="16" t="s">
        <v>314</v>
      </c>
      <c r="AO3" s="15" t="s">
        <v>315</v>
      </c>
      <c r="AP3" s="15" t="s">
        <v>313</v>
      </c>
      <c r="AQ3" s="15" t="s">
        <v>310</v>
      </c>
      <c r="AR3" s="15" t="s">
        <v>306</v>
      </c>
      <c r="AS3" s="15" t="s">
        <v>312</v>
      </c>
      <c r="AT3" s="15" t="s">
        <v>307</v>
      </c>
      <c r="AU3" s="15" t="s">
        <v>311</v>
      </c>
      <c r="AV3" s="15" t="s">
        <v>316</v>
      </c>
      <c r="AW3" s="15" t="s">
        <v>308</v>
      </c>
      <c r="AX3" s="15" t="s">
        <v>309</v>
      </c>
      <c r="AY3" s="15" t="s">
        <v>317</v>
      </c>
      <c r="AZ3" s="15" t="s">
        <v>318</v>
      </c>
    </row>
    <row r="4" spans="1:52" ht="22" x14ac:dyDescent="0.3">
      <c r="A4" s="12" t="s">
        <v>1029</v>
      </c>
      <c r="B4" s="12" t="s">
        <v>232</v>
      </c>
      <c r="C4" s="12" t="s">
        <v>207</v>
      </c>
      <c r="D4" s="14" t="s">
        <v>963</v>
      </c>
      <c r="E4" s="12" t="s">
        <v>964</v>
      </c>
      <c r="F4" s="12" t="s">
        <v>965</v>
      </c>
      <c r="G4" s="12" t="s">
        <v>965</v>
      </c>
      <c r="H4" s="12" t="s">
        <v>966</v>
      </c>
      <c r="I4" s="13" t="s">
        <v>967</v>
      </c>
      <c r="J4" s="12" t="s">
        <v>968</v>
      </c>
      <c r="K4" s="12" t="s">
        <v>969</v>
      </c>
      <c r="L4" s="13">
        <v>0</v>
      </c>
      <c r="M4" s="13">
        <v>1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1</v>
      </c>
      <c r="V4" s="13">
        <v>1</v>
      </c>
      <c r="W4" s="13">
        <v>0</v>
      </c>
      <c r="X4" s="13">
        <v>1</v>
      </c>
      <c r="Y4" s="13">
        <v>0</v>
      </c>
      <c r="Z4" s="13">
        <v>0</v>
      </c>
      <c r="AA4" s="13">
        <v>1</v>
      </c>
      <c r="AB4" s="13">
        <v>0</v>
      </c>
      <c r="AC4" s="13">
        <v>0</v>
      </c>
      <c r="AD4" s="13">
        <v>1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3</v>
      </c>
      <c r="AL4" s="13" t="s">
        <v>970</v>
      </c>
      <c r="AM4" s="13" t="s">
        <v>971</v>
      </c>
      <c r="AN4" s="13">
        <v>0</v>
      </c>
      <c r="AO4" s="12">
        <v>6</v>
      </c>
      <c r="AP4" s="12">
        <v>17</v>
      </c>
      <c r="AQ4" s="12">
        <v>1</v>
      </c>
      <c r="AR4" s="12">
        <v>0</v>
      </c>
      <c r="AS4" s="12">
        <v>0</v>
      </c>
      <c r="AT4" s="12">
        <v>0</v>
      </c>
      <c r="AU4" s="12">
        <v>15</v>
      </c>
      <c r="AV4" s="12">
        <v>0</v>
      </c>
      <c r="AW4" s="12">
        <v>0</v>
      </c>
      <c r="AX4" s="12">
        <v>0</v>
      </c>
      <c r="AY4" s="12">
        <v>0</v>
      </c>
      <c r="AZ4" s="12" t="s">
        <v>972</v>
      </c>
    </row>
    <row r="5" spans="1:52" ht="22" x14ac:dyDescent="0.3">
      <c r="A5" s="12" t="s">
        <v>1030</v>
      </c>
      <c r="B5" s="12" t="s">
        <v>232</v>
      </c>
      <c r="C5" s="12" t="s">
        <v>973</v>
      </c>
      <c r="D5" s="14" t="s">
        <v>974</v>
      </c>
      <c r="E5" s="12" t="s">
        <v>975</v>
      </c>
      <c r="F5" s="12" t="s">
        <v>965</v>
      </c>
      <c r="G5" s="12" t="s">
        <v>965</v>
      </c>
      <c r="H5" s="12" t="s">
        <v>965</v>
      </c>
      <c r="I5" s="13" t="s">
        <v>967</v>
      </c>
      <c r="J5" s="12" t="s">
        <v>976</v>
      </c>
      <c r="K5" s="12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1</v>
      </c>
      <c r="V5" s="13">
        <v>0</v>
      </c>
      <c r="W5" s="13">
        <v>0</v>
      </c>
      <c r="X5" s="13">
        <v>1</v>
      </c>
      <c r="Y5" s="13">
        <v>1</v>
      </c>
      <c r="Z5" s="13">
        <v>0</v>
      </c>
      <c r="AA5" s="13">
        <v>3</v>
      </c>
      <c r="AB5" s="13">
        <v>2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2</v>
      </c>
      <c r="AL5" s="13" t="s">
        <v>970</v>
      </c>
      <c r="AM5" s="13" t="s">
        <v>977</v>
      </c>
      <c r="AN5" s="13">
        <v>0</v>
      </c>
      <c r="AO5" s="12">
        <v>11</v>
      </c>
      <c r="AP5" s="12">
        <v>32</v>
      </c>
      <c r="AQ5" s="12">
        <v>2</v>
      </c>
      <c r="AR5" s="12">
        <v>0</v>
      </c>
      <c r="AS5" s="12">
        <v>0</v>
      </c>
      <c r="AT5" s="12">
        <v>0</v>
      </c>
      <c r="AU5" s="12">
        <v>28</v>
      </c>
      <c r="AV5" s="12">
        <v>1</v>
      </c>
      <c r="AW5" s="12">
        <v>0</v>
      </c>
      <c r="AX5" s="12">
        <v>2</v>
      </c>
      <c r="AY5" s="12">
        <v>1</v>
      </c>
      <c r="AZ5" s="12" t="s">
        <v>972</v>
      </c>
    </row>
    <row r="6" spans="1:52" ht="22" x14ac:dyDescent="0.3">
      <c r="A6" s="12" t="s">
        <v>1031</v>
      </c>
      <c r="B6" s="12" t="s">
        <v>232</v>
      </c>
      <c r="C6" s="12" t="s">
        <v>40</v>
      </c>
      <c r="D6" s="14" t="s">
        <v>978</v>
      </c>
      <c r="E6" s="12" t="s">
        <v>964</v>
      </c>
      <c r="F6" s="12" t="s">
        <v>966</v>
      </c>
      <c r="G6" s="12" t="s">
        <v>965</v>
      </c>
      <c r="H6" s="12" t="s">
        <v>965</v>
      </c>
      <c r="I6" s="13" t="s">
        <v>979</v>
      </c>
      <c r="J6" s="12" t="s">
        <v>980</v>
      </c>
      <c r="K6" s="12" t="s">
        <v>981</v>
      </c>
      <c r="L6" s="13">
        <v>0</v>
      </c>
      <c r="M6" s="13">
        <v>8</v>
      </c>
      <c r="N6" s="13">
        <v>0</v>
      </c>
      <c r="O6" s="13">
        <v>1</v>
      </c>
      <c r="P6" s="13">
        <v>1</v>
      </c>
      <c r="Q6" s="13">
        <v>0</v>
      </c>
      <c r="R6" s="13">
        <v>2</v>
      </c>
      <c r="S6" s="13">
        <v>0</v>
      </c>
      <c r="T6" s="13">
        <v>0</v>
      </c>
      <c r="U6" s="13">
        <v>1</v>
      </c>
      <c r="V6" s="13">
        <v>1</v>
      </c>
      <c r="W6" s="13">
        <v>1</v>
      </c>
      <c r="X6" s="13">
        <v>1</v>
      </c>
      <c r="Y6" s="13">
        <v>4</v>
      </c>
      <c r="Z6" s="13">
        <v>0</v>
      </c>
      <c r="AA6" s="13">
        <v>3</v>
      </c>
      <c r="AB6" s="13">
        <v>1</v>
      </c>
      <c r="AC6" s="13">
        <v>0</v>
      </c>
      <c r="AD6" s="13">
        <v>2</v>
      </c>
      <c r="AE6" s="13">
        <v>0</v>
      </c>
      <c r="AF6" s="13">
        <v>0</v>
      </c>
      <c r="AG6" s="13">
        <v>2</v>
      </c>
      <c r="AH6" s="13">
        <v>0</v>
      </c>
      <c r="AI6" s="13">
        <v>0</v>
      </c>
      <c r="AJ6" s="13">
        <v>0</v>
      </c>
      <c r="AK6" s="13">
        <v>2</v>
      </c>
      <c r="AL6" s="13" t="s">
        <v>970</v>
      </c>
      <c r="AM6" s="13" t="s">
        <v>977</v>
      </c>
      <c r="AN6" s="13">
        <v>0</v>
      </c>
      <c r="AO6" s="12">
        <v>25</v>
      </c>
      <c r="AP6" s="12">
        <v>44</v>
      </c>
      <c r="AQ6" s="12">
        <v>6</v>
      </c>
      <c r="AR6" s="12">
        <v>0</v>
      </c>
      <c r="AS6" s="12">
        <v>0</v>
      </c>
      <c r="AT6" s="12">
        <v>0</v>
      </c>
      <c r="AU6" s="12">
        <v>36</v>
      </c>
      <c r="AV6" s="12">
        <v>4</v>
      </c>
      <c r="AW6" s="12">
        <v>0</v>
      </c>
      <c r="AX6" s="12">
        <v>7</v>
      </c>
      <c r="AY6" s="12">
        <v>4</v>
      </c>
      <c r="AZ6" s="12" t="s">
        <v>972</v>
      </c>
    </row>
    <row r="7" spans="1:52" ht="22" x14ac:dyDescent="0.3">
      <c r="A7" s="12" t="s">
        <v>1032</v>
      </c>
      <c r="B7" s="12" t="s">
        <v>232</v>
      </c>
      <c r="C7" s="12" t="s">
        <v>40</v>
      </c>
      <c r="D7" s="14" t="s">
        <v>982</v>
      </c>
      <c r="E7" s="12" t="s">
        <v>964</v>
      </c>
      <c r="F7" s="12" t="s">
        <v>966</v>
      </c>
      <c r="G7" s="12" t="s">
        <v>965</v>
      </c>
      <c r="H7" s="12" t="s">
        <v>966</v>
      </c>
      <c r="I7" s="13" t="s">
        <v>983</v>
      </c>
      <c r="J7" s="12" t="s">
        <v>984</v>
      </c>
      <c r="K7" s="12">
        <v>0</v>
      </c>
      <c r="L7" s="13">
        <v>0</v>
      </c>
      <c r="M7" s="13">
        <v>6</v>
      </c>
      <c r="N7" s="13">
        <v>0</v>
      </c>
      <c r="O7" s="13">
        <v>0</v>
      </c>
      <c r="P7" s="13">
        <v>0</v>
      </c>
      <c r="Q7" s="13">
        <v>0</v>
      </c>
      <c r="R7" s="13">
        <v>1</v>
      </c>
      <c r="S7" s="13">
        <v>0</v>
      </c>
      <c r="T7" s="13">
        <v>0</v>
      </c>
      <c r="U7" s="13">
        <v>1</v>
      </c>
      <c r="V7" s="13">
        <v>1</v>
      </c>
      <c r="W7" s="13">
        <v>0</v>
      </c>
      <c r="X7" s="13">
        <v>1</v>
      </c>
      <c r="Y7" s="13">
        <v>4</v>
      </c>
      <c r="Z7" s="13">
        <v>0</v>
      </c>
      <c r="AA7" s="13">
        <v>5</v>
      </c>
      <c r="AB7" s="13">
        <v>1</v>
      </c>
      <c r="AC7" s="13">
        <v>0</v>
      </c>
      <c r="AD7" s="13">
        <v>2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2</v>
      </c>
      <c r="AL7" s="13" t="s">
        <v>970</v>
      </c>
      <c r="AM7" s="13" t="s">
        <v>977</v>
      </c>
      <c r="AN7" s="13">
        <v>0</v>
      </c>
      <c r="AO7" s="12">
        <v>20</v>
      </c>
      <c r="AP7" s="12">
        <v>38</v>
      </c>
      <c r="AQ7" s="12">
        <v>2</v>
      </c>
      <c r="AR7" s="12">
        <v>0</v>
      </c>
      <c r="AS7" s="12">
        <v>0</v>
      </c>
      <c r="AT7" s="12">
        <v>0</v>
      </c>
      <c r="AU7" s="12">
        <v>30</v>
      </c>
      <c r="AV7" s="12">
        <v>4</v>
      </c>
      <c r="AW7" s="12">
        <v>0</v>
      </c>
      <c r="AX7" s="12">
        <v>1</v>
      </c>
      <c r="AY7" s="12">
        <v>4</v>
      </c>
      <c r="AZ7" s="12" t="s">
        <v>972</v>
      </c>
    </row>
    <row r="8" spans="1:52" ht="22" x14ac:dyDescent="0.3">
      <c r="A8" s="12" t="s">
        <v>1033</v>
      </c>
      <c r="B8" s="12" t="s">
        <v>232</v>
      </c>
      <c r="C8" s="12" t="s">
        <v>40</v>
      </c>
      <c r="D8" s="12" t="s">
        <v>985</v>
      </c>
      <c r="E8" s="12" t="s">
        <v>964</v>
      </c>
      <c r="F8" s="12" t="s">
        <v>966</v>
      </c>
      <c r="G8" s="12" t="s">
        <v>965</v>
      </c>
      <c r="H8" s="12" t="s">
        <v>966</v>
      </c>
      <c r="I8" s="13" t="s">
        <v>986</v>
      </c>
      <c r="J8" s="12" t="s">
        <v>987</v>
      </c>
      <c r="K8" s="12" t="s">
        <v>988</v>
      </c>
      <c r="L8" s="13">
        <v>0</v>
      </c>
      <c r="M8" s="13">
        <v>6</v>
      </c>
      <c r="N8" s="13">
        <v>0</v>
      </c>
      <c r="O8" s="13">
        <v>0</v>
      </c>
      <c r="P8" s="13">
        <v>1</v>
      </c>
      <c r="Q8" s="13">
        <v>0</v>
      </c>
      <c r="R8" s="13">
        <v>1</v>
      </c>
      <c r="S8" s="13">
        <v>0</v>
      </c>
      <c r="T8" s="13">
        <v>0</v>
      </c>
      <c r="U8" s="13">
        <v>1</v>
      </c>
      <c r="V8" s="13">
        <v>1</v>
      </c>
      <c r="W8" s="13">
        <v>2</v>
      </c>
      <c r="X8" s="13">
        <v>1</v>
      </c>
      <c r="Y8" s="13">
        <v>2</v>
      </c>
      <c r="Z8" s="13">
        <v>0</v>
      </c>
      <c r="AA8" s="13">
        <v>3</v>
      </c>
      <c r="AB8" s="13">
        <v>1</v>
      </c>
      <c r="AC8" s="13">
        <v>0</v>
      </c>
      <c r="AD8" s="13">
        <v>1</v>
      </c>
      <c r="AE8" s="13">
        <v>0</v>
      </c>
      <c r="AF8" s="13">
        <v>0</v>
      </c>
      <c r="AG8" s="13">
        <v>0</v>
      </c>
      <c r="AH8" s="13">
        <v>1</v>
      </c>
      <c r="AI8" s="13">
        <v>0</v>
      </c>
      <c r="AJ8" s="13">
        <v>0</v>
      </c>
      <c r="AK8" s="13">
        <v>2</v>
      </c>
      <c r="AL8" s="13" t="s">
        <v>970</v>
      </c>
      <c r="AM8" s="13" t="s">
        <v>977</v>
      </c>
      <c r="AN8" s="13">
        <v>0</v>
      </c>
      <c r="AO8" s="12">
        <v>26</v>
      </c>
      <c r="AP8" s="12">
        <v>46</v>
      </c>
      <c r="AQ8" s="12">
        <v>7</v>
      </c>
      <c r="AR8" s="12">
        <v>0</v>
      </c>
      <c r="AS8" s="12">
        <v>0</v>
      </c>
      <c r="AT8" s="12">
        <v>0</v>
      </c>
      <c r="AU8" s="12">
        <v>37</v>
      </c>
      <c r="AV8" s="12">
        <v>7</v>
      </c>
      <c r="AW8" s="12">
        <v>0</v>
      </c>
      <c r="AX8" s="12">
        <v>7</v>
      </c>
      <c r="AY8" s="12">
        <v>6</v>
      </c>
      <c r="AZ8" s="12" t="s">
        <v>972</v>
      </c>
    </row>
    <row r="9" spans="1:52" ht="22" x14ac:dyDescent="0.3">
      <c r="A9" s="12" t="s">
        <v>1034</v>
      </c>
      <c r="B9" s="12" t="s">
        <v>232</v>
      </c>
      <c r="C9" s="12" t="s">
        <v>40</v>
      </c>
      <c r="D9" s="14" t="s">
        <v>989</v>
      </c>
      <c r="E9" s="12" t="s">
        <v>964</v>
      </c>
      <c r="F9" s="12" t="s">
        <v>966</v>
      </c>
      <c r="G9" s="12" t="s">
        <v>965</v>
      </c>
      <c r="H9" s="12" t="s">
        <v>966</v>
      </c>
      <c r="I9" s="13" t="s">
        <v>967</v>
      </c>
      <c r="J9" s="12" t="s">
        <v>990</v>
      </c>
      <c r="K9" s="12" t="s">
        <v>991</v>
      </c>
      <c r="L9" s="13">
        <v>0</v>
      </c>
      <c r="M9" s="13">
        <v>2</v>
      </c>
      <c r="N9" s="13">
        <v>0</v>
      </c>
      <c r="O9" s="13">
        <v>0</v>
      </c>
      <c r="P9" s="13">
        <v>1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1</v>
      </c>
      <c r="W9" s="13">
        <v>1</v>
      </c>
      <c r="X9" s="13">
        <v>1</v>
      </c>
      <c r="Y9" s="13">
        <v>1</v>
      </c>
      <c r="Z9" s="13">
        <v>2</v>
      </c>
      <c r="AA9" s="13">
        <v>3</v>
      </c>
      <c r="AB9" s="13">
        <v>0</v>
      </c>
      <c r="AC9" s="13">
        <v>1</v>
      </c>
      <c r="AD9" s="13">
        <v>2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1</v>
      </c>
      <c r="AK9" s="13">
        <v>3</v>
      </c>
      <c r="AL9" s="13" t="s">
        <v>971</v>
      </c>
      <c r="AM9" s="13" t="s">
        <v>977</v>
      </c>
      <c r="AN9" s="13">
        <v>0</v>
      </c>
      <c r="AO9" s="12">
        <v>19</v>
      </c>
      <c r="AP9" s="12">
        <v>32</v>
      </c>
      <c r="AQ9" s="12">
        <v>4</v>
      </c>
      <c r="AR9" s="12">
        <v>0</v>
      </c>
      <c r="AS9" s="12">
        <v>0</v>
      </c>
      <c r="AT9" s="12">
        <v>1</v>
      </c>
      <c r="AU9" s="12">
        <v>25</v>
      </c>
      <c r="AV9" s="12">
        <v>2</v>
      </c>
      <c r="AW9" s="12">
        <v>0</v>
      </c>
      <c r="AX9" s="12">
        <v>3</v>
      </c>
      <c r="AY9" s="12">
        <v>2</v>
      </c>
      <c r="AZ9" s="12" t="s">
        <v>972</v>
      </c>
    </row>
    <row r="10" spans="1:52" ht="22" x14ac:dyDescent="0.3">
      <c r="A10" s="12" t="s">
        <v>1035</v>
      </c>
      <c r="B10" s="12" t="s">
        <v>232</v>
      </c>
      <c r="C10" s="12" t="s">
        <v>40</v>
      </c>
      <c r="D10" s="14" t="s">
        <v>992</v>
      </c>
      <c r="E10" s="12" t="s">
        <v>964</v>
      </c>
      <c r="F10" s="12" t="s">
        <v>966</v>
      </c>
      <c r="G10" s="12" t="s">
        <v>965</v>
      </c>
      <c r="H10" s="12" t="s">
        <v>966</v>
      </c>
      <c r="I10" s="13" t="s">
        <v>967</v>
      </c>
      <c r="J10" s="12" t="s">
        <v>993</v>
      </c>
      <c r="K10" s="12" t="s">
        <v>994</v>
      </c>
      <c r="L10" s="13">
        <v>0</v>
      </c>
      <c r="M10" s="13">
        <v>5</v>
      </c>
      <c r="N10" s="13">
        <v>0</v>
      </c>
      <c r="O10" s="13">
        <v>0</v>
      </c>
      <c r="P10" s="13">
        <v>1</v>
      </c>
      <c r="Q10" s="13">
        <v>0</v>
      </c>
      <c r="R10" s="13">
        <v>0</v>
      </c>
      <c r="S10" s="13">
        <v>0</v>
      </c>
      <c r="T10" s="13">
        <v>0</v>
      </c>
      <c r="U10" s="13">
        <v>1</v>
      </c>
      <c r="V10" s="13">
        <v>0</v>
      </c>
      <c r="W10" s="13">
        <v>3</v>
      </c>
      <c r="X10" s="13">
        <v>1</v>
      </c>
      <c r="Y10" s="13">
        <v>3</v>
      </c>
      <c r="Z10" s="13">
        <v>0</v>
      </c>
      <c r="AA10" s="13">
        <v>3</v>
      </c>
      <c r="AB10" s="13">
        <v>3</v>
      </c>
      <c r="AC10" s="13">
        <v>1</v>
      </c>
      <c r="AD10" s="13">
        <v>2</v>
      </c>
      <c r="AE10" s="13">
        <v>0</v>
      </c>
      <c r="AF10" s="13">
        <v>0</v>
      </c>
      <c r="AG10" s="13">
        <v>0</v>
      </c>
      <c r="AH10" s="13">
        <v>1</v>
      </c>
      <c r="AI10" s="13">
        <v>0</v>
      </c>
      <c r="AJ10" s="13">
        <v>0</v>
      </c>
      <c r="AK10" s="13">
        <v>2</v>
      </c>
      <c r="AL10" s="13" t="s">
        <v>977</v>
      </c>
      <c r="AM10" s="13" t="s">
        <v>977</v>
      </c>
      <c r="AN10" s="13">
        <v>0</v>
      </c>
      <c r="AO10" s="12">
        <v>21</v>
      </c>
      <c r="AP10" s="12">
        <v>35</v>
      </c>
      <c r="AQ10" s="12">
        <v>4</v>
      </c>
      <c r="AR10" s="12">
        <v>0</v>
      </c>
      <c r="AS10" s="12">
        <v>0</v>
      </c>
      <c r="AT10" s="12">
        <v>0</v>
      </c>
      <c r="AU10" s="12">
        <v>28</v>
      </c>
      <c r="AV10" s="12">
        <v>2</v>
      </c>
      <c r="AW10" s="12">
        <v>0</v>
      </c>
      <c r="AX10" s="12">
        <v>3</v>
      </c>
      <c r="AY10" s="12">
        <v>2</v>
      </c>
      <c r="AZ10" s="12" t="s">
        <v>972</v>
      </c>
    </row>
    <row r="11" spans="1:52" ht="22" x14ac:dyDescent="0.3">
      <c r="A11" s="12" t="s">
        <v>1036</v>
      </c>
      <c r="B11" s="12" t="s">
        <v>232</v>
      </c>
      <c r="C11" s="12" t="s">
        <v>995</v>
      </c>
      <c r="D11" s="14" t="s">
        <v>996</v>
      </c>
      <c r="E11" s="12" t="s">
        <v>975</v>
      </c>
      <c r="F11" s="12" t="s">
        <v>966</v>
      </c>
      <c r="G11" s="12" t="s">
        <v>965</v>
      </c>
      <c r="H11" s="12" t="s">
        <v>966</v>
      </c>
      <c r="I11" s="13" t="s">
        <v>997</v>
      </c>
      <c r="J11" s="12" t="s">
        <v>998</v>
      </c>
      <c r="K11" s="12" t="s">
        <v>999</v>
      </c>
      <c r="L11" s="13">
        <v>1</v>
      </c>
      <c r="M11" s="13">
        <v>2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1</v>
      </c>
      <c r="V11" s="13">
        <v>1</v>
      </c>
      <c r="W11" s="13">
        <v>1</v>
      </c>
      <c r="X11" s="13">
        <v>2</v>
      </c>
      <c r="Y11" s="13">
        <v>1</v>
      </c>
      <c r="Z11" s="13">
        <v>0</v>
      </c>
      <c r="AA11" s="13">
        <v>1</v>
      </c>
      <c r="AB11" s="13">
        <v>1</v>
      </c>
      <c r="AC11" s="13">
        <v>0</v>
      </c>
      <c r="AD11" s="13">
        <v>3</v>
      </c>
      <c r="AE11" s="13">
        <v>1</v>
      </c>
      <c r="AF11" s="13">
        <v>0</v>
      </c>
      <c r="AG11" s="13">
        <v>1</v>
      </c>
      <c r="AH11" s="13">
        <v>0</v>
      </c>
      <c r="AI11" s="13">
        <v>0</v>
      </c>
      <c r="AJ11" s="13">
        <v>0</v>
      </c>
      <c r="AK11" s="13">
        <v>6</v>
      </c>
      <c r="AL11" s="13" t="s">
        <v>970</v>
      </c>
      <c r="AM11" s="13" t="s">
        <v>971</v>
      </c>
      <c r="AN11" s="13">
        <v>0</v>
      </c>
      <c r="AO11" s="12">
        <v>15</v>
      </c>
      <c r="AP11" s="12">
        <v>48</v>
      </c>
      <c r="AQ11" s="12">
        <v>4</v>
      </c>
      <c r="AR11" s="12">
        <v>0</v>
      </c>
      <c r="AS11" s="12">
        <v>0</v>
      </c>
      <c r="AT11" s="12">
        <v>1</v>
      </c>
      <c r="AU11" s="12">
        <v>42</v>
      </c>
      <c r="AV11" s="12">
        <v>4</v>
      </c>
      <c r="AW11" s="12">
        <v>0</v>
      </c>
      <c r="AX11" s="12">
        <v>4</v>
      </c>
      <c r="AY11" s="12">
        <v>4</v>
      </c>
      <c r="AZ11" s="12" t="s">
        <v>972</v>
      </c>
    </row>
    <row r="12" spans="1:52" ht="22" x14ac:dyDescent="0.3">
      <c r="A12" s="12" t="s">
        <v>1037</v>
      </c>
      <c r="B12" s="12" t="s">
        <v>232</v>
      </c>
      <c r="C12" s="12" t="s">
        <v>1000</v>
      </c>
      <c r="D12" s="14" t="s">
        <v>1001</v>
      </c>
      <c r="E12" s="12" t="s">
        <v>964</v>
      </c>
      <c r="F12" s="12" t="s">
        <v>965</v>
      </c>
      <c r="G12" s="12" t="s">
        <v>965</v>
      </c>
      <c r="H12" s="12" t="s">
        <v>965</v>
      </c>
      <c r="I12" s="13" t="s">
        <v>1002</v>
      </c>
      <c r="J12" s="12" t="s">
        <v>1003</v>
      </c>
      <c r="K12" s="12" t="s">
        <v>1004</v>
      </c>
      <c r="L12" s="13">
        <v>0</v>
      </c>
      <c r="M12" s="13">
        <v>1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1</v>
      </c>
      <c r="V12" s="13">
        <v>1</v>
      </c>
      <c r="W12" s="13">
        <v>0</v>
      </c>
      <c r="X12" s="13">
        <v>0</v>
      </c>
      <c r="Y12" s="13">
        <v>1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4</v>
      </c>
      <c r="AL12" s="13" t="s">
        <v>971</v>
      </c>
      <c r="AM12" s="13" t="s">
        <v>971</v>
      </c>
      <c r="AN12" s="13">
        <v>0</v>
      </c>
      <c r="AO12" s="12">
        <v>7</v>
      </c>
      <c r="AP12" s="12">
        <v>23</v>
      </c>
      <c r="AQ12" s="12">
        <v>1</v>
      </c>
      <c r="AR12" s="12">
        <v>0</v>
      </c>
      <c r="AS12" s="12">
        <v>0</v>
      </c>
      <c r="AT12" s="12">
        <v>0</v>
      </c>
      <c r="AU12" s="12">
        <v>22</v>
      </c>
      <c r="AV12" s="12">
        <v>0</v>
      </c>
      <c r="AW12" s="12">
        <v>0</v>
      </c>
      <c r="AX12" s="12">
        <v>1</v>
      </c>
      <c r="AY12" s="12">
        <v>0</v>
      </c>
      <c r="AZ12" s="12" t="s">
        <v>972</v>
      </c>
    </row>
    <row r="13" spans="1:52" ht="22" x14ac:dyDescent="0.3">
      <c r="A13" s="12" t="s">
        <v>1038</v>
      </c>
      <c r="B13" s="12" t="s">
        <v>243</v>
      </c>
      <c r="C13" s="12" t="s">
        <v>376</v>
      </c>
      <c r="D13" s="12" t="s">
        <v>1005</v>
      </c>
      <c r="E13" s="12" t="s">
        <v>965</v>
      </c>
      <c r="F13" s="12" t="s">
        <v>965</v>
      </c>
      <c r="G13" s="12" t="s">
        <v>966</v>
      </c>
      <c r="H13" s="12" t="s">
        <v>965</v>
      </c>
      <c r="I13" s="13" t="s">
        <v>967</v>
      </c>
      <c r="J13" s="4" t="s">
        <v>1006</v>
      </c>
      <c r="K13" s="4" t="s">
        <v>1007</v>
      </c>
      <c r="L13" s="13">
        <v>0</v>
      </c>
      <c r="M13" s="13">
        <v>2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2</v>
      </c>
      <c r="U13" s="13">
        <v>0</v>
      </c>
      <c r="V13" s="13">
        <v>1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1</v>
      </c>
      <c r="AK13" s="13">
        <v>3</v>
      </c>
      <c r="AL13" s="13" t="s">
        <v>971</v>
      </c>
      <c r="AM13" s="13" t="s">
        <v>970</v>
      </c>
      <c r="AN13" s="13">
        <v>0</v>
      </c>
      <c r="AO13" s="12">
        <v>9</v>
      </c>
      <c r="AP13" s="12">
        <v>33</v>
      </c>
      <c r="AQ13" s="12">
        <v>3</v>
      </c>
      <c r="AR13" s="12">
        <v>0</v>
      </c>
      <c r="AS13" s="12">
        <v>0</v>
      </c>
      <c r="AT13" s="12">
        <v>0</v>
      </c>
      <c r="AU13" s="12">
        <v>21</v>
      </c>
      <c r="AV13" s="12">
        <v>2</v>
      </c>
      <c r="AW13" s="12">
        <v>0</v>
      </c>
      <c r="AX13" s="12">
        <v>3</v>
      </c>
      <c r="AY13" s="12">
        <v>2</v>
      </c>
      <c r="AZ13" s="12" t="s">
        <v>972</v>
      </c>
    </row>
    <row r="14" spans="1:52" ht="22" x14ac:dyDescent="0.3">
      <c r="A14" s="12" t="s">
        <v>1039</v>
      </c>
      <c r="B14" s="12" t="s">
        <v>243</v>
      </c>
      <c r="C14" s="12" t="s">
        <v>207</v>
      </c>
      <c r="D14" s="12" t="s">
        <v>1008</v>
      </c>
      <c r="E14" s="12" t="s">
        <v>965</v>
      </c>
      <c r="F14" s="12" t="s">
        <v>965</v>
      </c>
      <c r="G14" s="12" t="s">
        <v>965</v>
      </c>
      <c r="H14" s="12" t="s">
        <v>965</v>
      </c>
      <c r="I14" s="13" t="s">
        <v>967</v>
      </c>
      <c r="J14" s="4" t="s">
        <v>1009</v>
      </c>
      <c r="K14" s="4" t="s">
        <v>1010</v>
      </c>
      <c r="L14" s="13">
        <v>0</v>
      </c>
      <c r="M14" s="13">
        <v>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1</v>
      </c>
      <c r="V14" s="13">
        <v>1</v>
      </c>
      <c r="W14" s="13">
        <v>0</v>
      </c>
      <c r="X14" s="13">
        <v>1</v>
      </c>
      <c r="Y14" s="13">
        <v>2</v>
      </c>
      <c r="Z14" s="13">
        <v>0</v>
      </c>
      <c r="AA14" s="13">
        <v>1</v>
      </c>
      <c r="AB14" s="13">
        <v>0</v>
      </c>
      <c r="AC14" s="13">
        <v>1</v>
      </c>
      <c r="AD14" s="13">
        <v>1</v>
      </c>
      <c r="AE14" s="13">
        <v>0</v>
      </c>
      <c r="AF14" s="13">
        <v>1</v>
      </c>
      <c r="AG14" s="13">
        <v>0</v>
      </c>
      <c r="AH14" s="13">
        <v>0</v>
      </c>
      <c r="AI14" s="13">
        <v>0</v>
      </c>
      <c r="AJ14" s="13">
        <v>0</v>
      </c>
      <c r="AK14" s="13">
        <v>3</v>
      </c>
      <c r="AL14" s="13" t="s">
        <v>970</v>
      </c>
      <c r="AM14" s="13" t="s">
        <v>971</v>
      </c>
      <c r="AN14" s="13">
        <v>0</v>
      </c>
      <c r="AO14" s="12">
        <v>18</v>
      </c>
      <c r="AP14" s="12">
        <v>42</v>
      </c>
      <c r="AQ14" s="12">
        <v>4</v>
      </c>
      <c r="AR14" s="12">
        <v>0</v>
      </c>
      <c r="AS14" s="12">
        <v>0</v>
      </c>
      <c r="AT14" s="12">
        <v>0</v>
      </c>
      <c r="AU14" s="12">
        <v>39</v>
      </c>
      <c r="AV14" s="12">
        <v>6</v>
      </c>
      <c r="AW14" s="12">
        <v>0</v>
      </c>
      <c r="AX14" s="12">
        <v>4</v>
      </c>
      <c r="AY14" s="12">
        <v>6</v>
      </c>
      <c r="AZ14" s="12" t="s">
        <v>972</v>
      </c>
    </row>
    <row r="15" spans="1:52" ht="22" x14ac:dyDescent="0.3">
      <c r="A15" s="12" t="s">
        <v>1040</v>
      </c>
      <c r="B15" s="12" t="s">
        <v>243</v>
      </c>
      <c r="C15" s="12" t="s">
        <v>207</v>
      </c>
      <c r="D15" s="12" t="s">
        <v>1011</v>
      </c>
      <c r="E15" s="12" t="s">
        <v>965</v>
      </c>
      <c r="F15" s="12" t="s">
        <v>965</v>
      </c>
      <c r="G15" s="12" t="s">
        <v>965</v>
      </c>
      <c r="H15" s="12" t="s">
        <v>966</v>
      </c>
      <c r="I15" s="13" t="s">
        <v>967</v>
      </c>
      <c r="J15" s="12" t="s">
        <v>1012</v>
      </c>
      <c r="K15" s="12">
        <v>0</v>
      </c>
      <c r="L15" s="13">
        <v>0</v>
      </c>
      <c r="M15" s="13">
        <v>3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1</v>
      </c>
      <c r="V15" s="13">
        <v>2</v>
      </c>
      <c r="W15" s="13">
        <v>0</v>
      </c>
      <c r="X15" s="13">
        <v>1</v>
      </c>
      <c r="Y15" s="13">
        <v>1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5</v>
      </c>
      <c r="AL15" s="13" t="s">
        <v>970</v>
      </c>
      <c r="AM15" s="13" t="s">
        <v>971</v>
      </c>
      <c r="AN15" s="13">
        <v>1</v>
      </c>
      <c r="AO15" s="12">
        <v>9</v>
      </c>
      <c r="AP15" s="12">
        <v>35</v>
      </c>
      <c r="AQ15" s="12">
        <v>3</v>
      </c>
      <c r="AR15" s="12">
        <v>0</v>
      </c>
      <c r="AS15" s="12">
        <v>0</v>
      </c>
      <c r="AT15" s="12">
        <v>0</v>
      </c>
      <c r="AU15" s="12">
        <v>24</v>
      </c>
      <c r="AV15" s="12">
        <v>2</v>
      </c>
      <c r="AW15" s="12">
        <v>0</v>
      </c>
      <c r="AX15" s="12">
        <v>2</v>
      </c>
      <c r="AY15" s="12">
        <v>2</v>
      </c>
      <c r="AZ15" s="12" t="s">
        <v>972</v>
      </c>
    </row>
    <row r="16" spans="1:52" ht="22" x14ac:dyDescent="0.3">
      <c r="A16" s="12" t="s">
        <v>1041</v>
      </c>
      <c r="B16" s="12" t="s">
        <v>243</v>
      </c>
      <c r="C16" s="12" t="s">
        <v>40</v>
      </c>
      <c r="D16" s="12" t="s">
        <v>1013</v>
      </c>
      <c r="E16" s="12" t="s">
        <v>965</v>
      </c>
      <c r="F16" s="12" t="s">
        <v>965</v>
      </c>
      <c r="G16" s="12" t="s">
        <v>966</v>
      </c>
      <c r="H16" s="12" t="s">
        <v>966</v>
      </c>
      <c r="I16" s="13" t="s">
        <v>1014</v>
      </c>
      <c r="J16" s="4" t="s">
        <v>1015</v>
      </c>
      <c r="K16" s="4" t="s">
        <v>1016</v>
      </c>
      <c r="L16" s="13">
        <v>0</v>
      </c>
      <c r="M16" s="13">
        <v>2</v>
      </c>
      <c r="N16" s="13">
        <v>0</v>
      </c>
      <c r="O16" s="13">
        <v>0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2</v>
      </c>
      <c r="V16" s="13">
        <v>1</v>
      </c>
      <c r="W16" s="13">
        <v>0</v>
      </c>
      <c r="X16" s="13">
        <v>1</v>
      </c>
      <c r="Y16" s="13">
        <v>2</v>
      </c>
      <c r="Z16" s="13">
        <v>0</v>
      </c>
      <c r="AA16" s="13">
        <v>3</v>
      </c>
      <c r="AB16" s="13">
        <v>1</v>
      </c>
      <c r="AC16" s="13">
        <v>1</v>
      </c>
      <c r="AD16" s="13">
        <v>2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2</v>
      </c>
      <c r="AL16" s="13" t="s">
        <v>977</v>
      </c>
      <c r="AM16" s="13" t="s">
        <v>977</v>
      </c>
      <c r="AN16" s="13">
        <v>0</v>
      </c>
      <c r="AO16" s="12">
        <v>17</v>
      </c>
      <c r="AP16" s="12">
        <v>41</v>
      </c>
      <c r="AQ16" s="12">
        <v>2</v>
      </c>
      <c r="AR16" s="12">
        <v>1</v>
      </c>
      <c r="AS16" s="12">
        <v>0</v>
      </c>
      <c r="AT16" s="12">
        <v>0</v>
      </c>
      <c r="AU16" s="12">
        <v>27</v>
      </c>
      <c r="AV16" s="12">
        <v>2</v>
      </c>
      <c r="AW16" s="12">
        <v>0</v>
      </c>
      <c r="AX16" s="12">
        <v>2</v>
      </c>
      <c r="AY16" s="12">
        <v>2</v>
      </c>
      <c r="AZ16" s="12" t="s">
        <v>972</v>
      </c>
    </row>
    <row r="17" spans="1:52" ht="22" x14ac:dyDescent="0.3">
      <c r="A17" s="12" t="s">
        <v>1042</v>
      </c>
      <c r="B17" s="12" t="s">
        <v>243</v>
      </c>
      <c r="C17" s="12" t="s">
        <v>33</v>
      </c>
      <c r="D17" s="12" t="s">
        <v>1017</v>
      </c>
      <c r="E17" s="12" t="s">
        <v>966</v>
      </c>
      <c r="F17" s="12" t="s">
        <v>965</v>
      </c>
      <c r="G17" s="12" t="s">
        <v>966</v>
      </c>
      <c r="H17" s="12" t="s">
        <v>966</v>
      </c>
      <c r="I17" s="13" t="s">
        <v>1018</v>
      </c>
      <c r="J17" s="4" t="s">
        <v>1019</v>
      </c>
      <c r="K17" s="4" t="s">
        <v>1020</v>
      </c>
      <c r="L17" s="13">
        <v>0</v>
      </c>
      <c r="M17" s="13">
        <v>2</v>
      </c>
      <c r="N17" s="13">
        <v>0</v>
      </c>
      <c r="O17" s="13">
        <v>0</v>
      </c>
      <c r="P17" s="13">
        <v>0</v>
      </c>
      <c r="Q17" s="13">
        <v>0</v>
      </c>
      <c r="R17" s="13">
        <v>1</v>
      </c>
      <c r="S17" s="13">
        <v>0</v>
      </c>
      <c r="T17" s="13">
        <v>0</v>
      </c>
      <c r="U17" s="13">
        <v>1</v>
      </c>
      <c r="V17" s="13">
        <v>1</v>
      </c>
      <c r="W17" s="13">
        <v>2</v>
      </c>
      <c r="X17" s="13">
        <v>2</v>
      </c>
      <c r="Y17" s="13">
        <v>4</v>
      </c>
      <c r="Z17" s="13">
        <v>0</v>
      </c>
      <c r="AA17" s="13">
        <v>1</v>
      </c>
      <c r="AB17" s="13">
        <v>1</v>
      </c>
      <c r="AC17" s="13">
        <v>2</v>
      </c>
      <c r="AD17" s="13">
        <v>3</v>
      </c>
      <c r="AE17" s="13">
        <v>1</v>
      </c>
      <c r="AF17" s="13">
        <v>0</v>
      </c>
      <c r="AG17" s="13">
        <v>0</v>
      </c>
      <c r="AH17" s="13">
        <v>0</v>
      </c>
      <c r="AI17" s="13">
        <v>1</v>
      </c>
      <c r="AJ17" s="13">
        <v>0</v>
      </c>
      <c r="AK17" s="13">
        <v>5</v>
      </c>
      <c r="AL17" s="13" t="s">
        <v>977</v>
      </c>
      <c r="AM17" s="13" t="s">
        <v>977</v>
      </c>
      <c r="AN17" s="13">
        <v>1</v>
      </c>
      <c r="AO17" s="12">
        <v>20</v>
      </c>
      <c r="AP17" s="12">
        <v>57</v>
      </c>
      <c r="AQ17" s="12">
        <v>4</v>
      </c>
      <c r="AR17" s="12">
        <v>0</v>
      </c>
      <c r="AS17" s="12">
        <v>1</v>
      </c>
      <c r="AT17" s="12">
        <v>2</v>
      </c>
      <c r="AU17" s="12">
        <v>42</v>
      </c>
      <c r="AV17" s="12">
        <v>12</v>
      </c>
      <c r="AW17" s="12">
        <v>1</v>
      </c>
      <c r="AX17" s="12">
        <v>4</v>
      </c>
      <c r="AY17" s="12">
        <v>11</v>
      </c>
      <c r="AZ17" s="12" t="s">
        <v>1021</v>
      </c>
    </row>
    <row r="18" spans="1:52" ht="22" x14ac:dyDescent="0.3">
      <c r="A18" s="12" t="s">
        <v>1043</v>
      </c>
      <c r="B18" s="12" t="s">
        <v>243</v>
      </c>
      <c r="C18" s="12" t="s">
        <v>33</v>
      </c>
      <c r="D18" s="12" t="s">
        <v>1022</v>
      </c>
      <c r="E18" s="12" t="s">
        <v>965</v>
      </c>
      <c r="F18" s="12" t="s">
        <v>965</v>
      </c>
      <c r="G18" s="12" t="s">
        <v>966</v>
      </c>
      <c r="H18" s="12" t="s">
        <v>965</v>
      </c>
      <c r="I18" s="13" t="s">
        <v>1023</v>
      </c>
      <c r="J18" s="4" t="s">
        <v>1024</v>
      </c>
      <c r="K18" s="4" t="s">
        <v>1025</v>
      </c>
      <c r="L18" s="13">
        <v>0</v>
      </c>
      <c r="M18" s="13">
        <v>1</v>
      </c>
      <c r="N18" s="13">
        <v>1</v>
      </c>
      <c r="O18" s="13">
        <v>0</v>
      </c>
      <c r="P18" s="13">
        <v>0</v>
      </c>
      <c r="Q18" s="13">
        <v>0</v>
      </c>
      <c r="R18" s="13">
        <v>0</v>
      </c>
      <c r="S18" s="13">
        <v>1</v>
      </c>
      <c r="T18" s="13">
        <v>0</v>
      </c>
      <c r="U18" s="13">
        <v>2</v>
      </c>
      <c r="V18" s="13">
        <v>1</v>
      </c>
      <c r="W18" s="13">
        <v>0</v>
      </c>
      <c r="X18" s="13">
        <v>2</v>
      </c>
      <c r="Y18" s="13">
        <v>3</v>
      </c>
      <c r="Z18" s="13">
        <v>0</v>
      </c>
      <c r="AA18" s="13">
        <v>1</v>
      </c>
      <c r="AB18" s="13">
        <v>1</v>
      </c>
      <c r="AC18" s="13">
        <v>4</v>
      </c>
      <c r="AD18" s="13">
        <v>3</v>
      </c>
      <c r="AE18" s="13">
        <v>2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3</v>
      </c>
      <c r="AL18" s="13" t="s">
        <v>977</v>
      </c>
      <c r="AM18" s="13" t="s">
        <v>977</v>
      </c>
      <c r="AN18" s="13">
        <v>1</v>
      </c>
      <c r="AO18" s="12">
        <v>21</v>
      </c>
      <c r="AP18" s="12">
        <v>60</v>
      </c>
      <c r="AQ18" s="12">
        <v>7</v>
      </c>
      <c r="AR18" s="12">
        <v>0</v>
      </c>
      <c r="AS18" s="12">
        <v>1</v>
      </c>
      <c r="AT18" s="12">
        <v>2</v>
      </c>
      <c r="AU18" s="12">
        <v>51</v>
      </c>
      <c r="AV18" s="12">
        <v>18</v>
      </c>
      <c r="AW18" s="12">
        <v>0</v>
      </c>
      <c r="AX18" s="12">
        <v>7</v>
      </c>
      <c r="AY18" s="12">
        <v>15</v>
      </c>
      <c r="AZ18" s="12" t="s">
        <v>1021</v>
      </c>
    </row>
    <row r="19" spans="1:52" ht="22" x14ac:dyDescent="0.3">
      <c r="A19" s="12" t="s">
        <v>1044</v>
      </c>
      <c r="B19" s="12" t="s">
        <v>243</v>
      </c>
      <c r="C19" s="12" t="s">
        <v>33</v>
      </c>
      <c r="D19" s="12" t="s">
        <v>1026</v>
      </c>
      <c r="E19" s="12" t="s">
        <v>966</v>
      </c>
      <c r="F19" s="12" t="s">
        <v>965</v>
      </c>
      <c r="G19" s="12" t="s">
        <v>966</v>
      </c>
      <c r="H19" s="12" t="s">
        <v>965</v>
      </c>
      <c r="I19" s="13" t="s">
        <v>967</v>
      </c>
      <c r="J19" s="4" t="s">
        <v>1027</v>
      </c>
      <c r="K19" s="4" t="s">
        <v>1028</v>
      </c>
      <c r="L19" s="13">
        <v>0</v>
      </c>
      <c r="M19" s="13">
        <v>5</v>
      </c>
      <c r="N19" s="13">
        <v>2</v>
      </c>
      <c r="O19" s="13">
        <v>1</v>
      </c>
      <c r="P19" s="13">
        <v>1</v>
      </c>
      <c r="Q19" s="13">
        <v>1</v>
      </c>
      <c r="R19" s="13">
        <v>0</v>
      </c>
      <c r="S19" s="13">
        <v>0</v>
      </c>
      <c r="T19" s="13">
        <v>0</v>
      </c>
      <c r="U19" s="13">
        <v>1</v>
      </c>
      <c r="V19" s="13">
        <v>1</v>
      </c>
      <c r="W19" s="13">
        <v>0</v>
      </c>
      <c r="X19" s="13">
        <v>2</v>
      </c>
      <c r="Y19" s="13">
        <v>3</v>
      </c>
      <c r="Z19" s="13">
        <v>0</v>
      </c>
      <c r="AA19" s="13">
        <v>1</v>
      </c>
      <c r="AB19" s="13">
        <v>1</v>
      </c>
      <c r="AC19" s="13">
        <v>1</v>
      </c>
      <c r="AD19" s="13">
        <v>2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2</v>
      </c>
      <c r="AL19" s="13" t="s">
        <v>977</v>
      </c>
      <c r="AM19" s="13" t="s">
        <v>977</v>
      </c>
      <c r="AN19" s="13">
        <v>1</v>
      </c>
      <c r="AO19" s="12">
        <v>18</v>
      </c>
      <c r="AP19" s="12">
        <v>47</v>
      </c>
      <c r="AQ19" s="12">
        <v>6</v>
      </c>
      <c r="AR19" s="12">
        <v>1</v>
      </c>
      <c r="AS19" s="12">
        <v>1</v>
      </c>
      <c r="AT19" s="12">
        <v>0</v>
      </c>
      <c r="AU19" s="12">
        <v>40</v>
      </c>
      <c r="AV19" s="12">
        <v>12</v>
      </c>
      <c r="AW19" s="12">
        <v>0</v>
      </c>
      <c r="AX19" s="12">
        <v>5</v>
      </c>
      <c r="AY19" s="12">
        <v>11</v>
      </c>
      <c r="AZ19" s="12" t="s">
        <v>1021</v>
      </c>
    </row>
  </sheetData>
  <conditionalFormatting sqref="U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{615A1411-EA60-294D-81AA-4D88098C323F}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5A1411-EA60-294D-81AA-4D88098C3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7C34-CD69-6C4F-95E5-27385C728C16}">
  <dimension ref="A1:BG173"/>
  <sheetViews>
    <sheetView workbookViewId="0"/>
  </sheetViews>
  <sheetFormatPr baseColWidth="10" defaultRowHeight="16" x14ac:dyDescent="0.2"/>
  <cols>
    <col min="3" max="3" width="17.83203125" customWidth="1"/>
    <col min="6" max="6" width="10.83203125" customWidth="1"/>
    <col min="9" max="9" width="32.5" customWidth="1"/>
    <col min="43" max="44" width="10.83203125" style="3"/>
    <col min="57" max="57" width="10.83203125" style="3"/>
  </cols>
  <sheetData>
    <row r="1" spans="1:59" ht="22" x14ac:dyDescent="0.3">
      <c r="A1" s="11" t="s">
        <v>950</v>
      </c>
    </row>
    <row r="3" spans="1:59" s="3" customFormat="1" x14ac:dyDescent="0.2">
      <c r="A3" s="3" t="s">
        <v>300</v>
      </c>
      <c r="B3" s="3" t="s">
        <v>947</v>
      </c>
      <c r="C3" s="3" t="s">
        <v>948</v>
      </c>
      <c r="D3" s="3" t="s">
        <v>946</v>
      </c>
      <c r="E3" s="3" t="s">
        <v>301</v>
      </c>
      <c r="F3" s="3" t="s">
        <v>302</v>
      </c>
      <c r="G3" s="3" t="s">
        <v>321</v>
      </c>
      <c r="H3" s="3" t="s">
        <v>303</v>
      </c>
      <c r="I3" s="3" t="s">
        <v>949</v>
      </c>
      <c r="J3" s="3" t="s">
        <v>22</v>
      </c>
      <c r="K3" s="3" t="s">
        <v>25</v>
      </c>
      <c r="L3" s="3" t="s">
        <v>4</v>
      </c>
      <c r="M3" s="3" t="s">
        <v>19</v>
      </c>
      <c r="N3" s="3" t="s">
        <v>28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14</v>
      </c>
      <c r="V3" s="3" t="s">
        <v>15</v>
      </c>
      <c r="W3" s="3" t="s">
        <v>2</v>
      </c>
      <c r="X3" s="3" t="s">
        <v>3</v>
      </c>
      <c r="Y3" s="3" t="s">
        <v>27</v>
      </c>
      <c r="Z3" s="3" t="s">
        <v>5</v>
      </c>
      <c r="AA3" s="3" t="s">
        <v>6</v>
      </c>
      <c r="AB3" s="3" t="s">
        <v>7</v>
      </c>
      <c r="AC3" s="3" t="s">
        <v>1</v>
      </c>
      <c r="AD3" s="3" t="s">
        <v>16</v>
      </c>
      <c r="AE3" s="3" t="s">
        <v>17</v>
      </c>
      <c r="AF3" s="3" t="s">
        <v>18</v>
      </c>
      <c r="AG3" s="3" t="s">
        <v>79</v>
      </c>
      <c r="AH3" s="3" t="s">
        <v>21</v>
      </c>
      <c r="AI3" s="3" t="s">
        <v>29</v>
      </c>
      <c r="AJ3" s="3" t="s">
        <v>82</v>
      </c>
      <c r="AK3" s="3" t="s">
        <v>23</v>
      </c>
      <c r="AL3" s="3" t="s">
        <v>24</v>
      </c>
      <c r="AM3" s="3" t="s">
        <v>174</v>
      </c>
      <c r="AN3" s="3" t="s">
        <v>26</v>
      </c>
      <c r="AO3" s="3" t="s">
        <v>20</v>
      </c>
      <c r="AP3" s="3" t="s">
        <v>172</v>
      </c>
      <c r="AQ3" s="3" t="s">
        <v>304</v>
      </c>
      <c r="AR3" s="3" t="s">
        <v>305</v>
      </c>
      <c r="AS3" s="3" t="s">
        <v>306</v>
      </c>
      <c r="AT3" s="3" t="s">
        <v>307</v>
      </c>
      <c r="AU3" s="3" t="s">
        <v>308</v>
      </c>
      <c r="AV3" s="3" t="s">
        <v>309</v>
      </c>
      <c r="AW3" s="3" t="s">
        <v>310</v>
      </c>
      <c r="AX3" s="3" t="s">
        <v>311</v>
      </c>
      <c r="AY3" s="3" t="s">
        <v>312</v>
      </c>
      <c r="AZ3" s="3" t="s">
        <v>313</v>
      </c>
      <c r="BA3" s="3" t="s">
        <v>314</v>
      </c>
      <c r="BB3" s="3" t="s">
        <v>315</v>
      </c>
      <c r="BC3" s="3" t="s">
        <v>316</v>
      </c>
      <c r="BD3" s="3" t="s">
        <v>317</v>
      </c>
      <c r="BE3" s="3" t="s">
        <v>318</v>
      </c>
      <c r="BF3" s="3" t="s">
        <v>319</v>
      </c>
      <c r="BG3" s="3" t="s">
        <v>320</v>
      </c>
    </row>
    <row r="4" spans="1:59" x14ac:dyDescent="0.2">
      <c r="A4" t="s">
        <v>322</v>
      </c>
      <c r="B4">
        <v>79.31</v>
      </c>
      <c r="C4">
        <v>1.72</v>
      </c>
      <c r="D4">
        <v>3201955</v>
      </c>
      <c r="E4" t="s">
        <v>323</v>
      </c>
      <c r="F4" t="s">
        <v>324</v>
      </c>
      <c r="G4" t="s">
        <v>325</v>
      </c>
      <c r="H4" t="s">
        <v>40</v>
      </c>
      <c r="I4" t="s">
        <v>776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2</v>
      </c>
      <c r="W4">
        <v>1</v>
      </c>
      <c r="X4">
        <v>0</v>
      </c>
      <c r="Y4">
        <v>1</v>
      </c>
      <c r="Z4">
        <v>1</v>
      </c>
      <c r="AA4">
        <v>0</v>
      </c>
      <c r="AB4">
        <v>2</v>
      </c>
      <c r="AC4">
        <v>0</v>
      </c>
      <c r="AD4">
        <v>1</v>
      </c>
      <c r="AE4">
        <v>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</v>
      </c>
      <c r="AQ4" s="3">
        <v>1</v>
      </c>
      <c r="AR4" s="3">
        <v>-1</v>
      </c>
      <c r="AS4">
        <v>1</v>
      </c>
      <c r="AT4">
        <v>0</v>
      </c>
      <c r="AU4">
        <v>0</v>
      </c>
      <c r="AV4">
        <v>4</v>
      </c>
      <c r="AW4">
        <v>4</v>
      </c>
      <c r="AX4">
        <v>27</v>
      </c>
      <c r="AY4">
        <v>0</v>
      </c>
      <c r="AZ4">
        <v>33</v>
      </c>
      <c r="BA4">
        <v>0</v>
      </c>
      <c r="BB4">
        <v>16</v>
      </c>
      <c r="BC4">
        <v>5</v>
      </c>
      <c r="BD4">
        <v>5</v>
      </c>
      <c r="BF4">
        <v>1</v>
      </c>
      <c r="BG4">
        <v>1</v>
      </c>
    </row>
    <row r="5" spans="1:59" x14ac:dyDescent="0.2">
      <c r="A5" t="s">
        <v>326</v>
      </c>
      <c r="B5">
        <v>90.56</v>
      </c>
      <c r="C5">
        <v>4.46</v>
      </c>
      <c r="D5">
        <v>3706949</v>
      </c>
      <c r="E5" t="s">
        <v>327</v>
      </c>
      <c r="F5" t="s">
        <v>328</v>
      </c>
      <c r="G5" t="s">
        <v>325</v>
      </c>
      <c r="H5" t="s">
        <v>33</v>
      </c>
      <c r="I5" t="s">
        <v>777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2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</v>
      </c>
      <c r="AP5">
        <v>2</v>
      </c>
      <c r="AQ5" s="3">
        <v>0</v>
      </c>
      <c r="AR5" s="3">
        <v>1</v>
      </c>
      <c r="AS5">
        <v>0</v>
      </c>
      <c r="AT5">
        <v>0</v>
      </c>
      <c r="AU5">
        <v>0</v>
      </c>
      <c r="AV5">
        <v>8</v>
      </c>
      <c r="AW5">
        <v>8</v>
      </c>
      <c r="AX5">
        <v>31</v>
      </c>
      <c r="AY5">
        <v>0</v>
      </c>
      <c r="AZ5">
        <v>35</v>
      </c>
      <c r="BA5">
        <v>0</v>
      </c>
      <c r="BB5">
        <v>12</v>
      </c>
      <c r="BC5">
        <v>8</v>
      </c>
      <c r="BD5">
        <v>7</v>
      </c>
      <c r="BF5">
        <v>0</v>
      </c>
      <c r="BG5">
        <v>1</v>
      </c>
    </row>
    <row r="6" spans="1:59" x14ac:dyDescent="0.2">
      <c r="A6" t="s">
        <v>329</v>
      </c>
      <c r="B6">
        <v>72.31</v>
      </c>
      <c r="C6">
        <v>1.69</v>
      </c>
      <c r="D6">
        <v>2869639</v>
      </c>
      <c r="E6" t="s">
        <v>330</v>
      </c>
      <c r="F6" t="s">
        <v>331</v>
      </c>
      <c r="G6" t="s">
        <v>333</v>
      </c>
      <c r="H6" t="s">
        <v>332</v>
      </c>
      <c r="I6" t="s">
        <v>778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 s="3">
        <v>0</v>
      </c>
      <c r="AR6" s="3">
        <v>0</v>
      </c>
      <c r="AS6">
        <v>0</v>
      </c>
      <c r="AT6">
        <v>0</v>
      </c>
      <c r="AU6">
        <v>0</v>
      </c>
      <c r="AV6">
        <v>2</v>
      </c>
      <c r="AW6">
        <v>2</v>
      </c>
      <c r="AX6">
        <v>18</v>
      </c>
      <c r="AY6">
        <v>0</v>
      </c>
      <c r="AZ6">
        <v>26</v>
      </c>
      <c r="BA6">
        <v>0</v>
      </c>
      <c r="BB6">
        <v>4</v>
      </c>
      <c r="BC6">
        <v>6</v>
      </c>
      <c r="BD6">
        <v>6</v>
      </c>
      <c r="BF6">
        <v>0</v>
      </c>
      <c r="BG6">
        <v>0</v>
      </c>
    </row>
    <row r="7" spans="1:59" x14ac:dyDescent="0.2">
      <c r="A7" t="s">
        <v>334</v>
      </c>
      <c r="B7">
        <v>86.76</v>
      </c>
      <c r="C7">
        <v>5.63</v>
      </c>
      <c r="D7">
        <v>3787802</v>
      </c>
      <c r="E7" t="s">
        <v>335</v>
      </c>
      <c r="F7" t="s">
        <v>336</v>
      </c>
      <c r="G7" t="s">
        <v>325</v>
      </c>
      <c r="H7" t="s">
        <v>33</v>
      </c>
      <c r="I7" t="s">
        <v>779</v>
      </c>
      <c r="J7">
        <v>0</v>
      </c>
      <c r="K7">
        <v>0</v>
      </c>
      <c r="L7">
        <v>4</v>
      </c>
      <c r="M7">
        <v>3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1</v>
      </c>
      <c r="AD7">
        <v>1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</v>
      </c>
      <c r="AQ7" s="3">
        <v>1</v>
      </c>
      <c r="AR7" s="3">
        <v>0</v>
      </c>
      <c r="AS7">
        <v>0</v>
      </c>
      <c r="AT7">
        <v>1</v>
      </c>
      <c r="AU7">
        <v>0</v>
      </c>
      <c r="AV7">
        <v>7</v>
      </c>
      <c r="AW7">
        <v>7</v>
      </c>
      <c r="AX7">
        <v>43</v>
      </c>
      <c r="AY7">
        <v>0</v>
      </c>
      <c r="AZ7">
        <v>47</v>
      </c>
      <c r="BA7">
        <v>1</v>
      </c>
      <c r="BB7">
        <v>33</v>
      </c>
      <c r="BC7">
        <v>12</v>
      </c>
      <c r="BD7">
        <v>10</v>
      </c>
      <c r="BF7">
        <v>0</v>
      </c>
      <c r="BG7">
        <v>1</v>
      </c>
    </row>
    <row r="8" spans="1:59" x14ac:dyDescent="0.2">
      <c r="A8" t="s">
        <v>337</v>
      </c>
      <c r="B8">
        <v>71.34</v>
      </c>
      <c r="C8">
        <v>3.89</v>
      </c>
      <c r="D8">
        <v>2379416</v>
      </c>
      <c r="E8" t="s">
        <v>338</v>
      </c>
      <c r="F8" t="s">
        <v>339</v>
      </c>
      <c r="G8" t="s">
        <v>325</v>
      </c>
      <c r="H8" t="s">
        <v>207</v>
      </c>
      <c r="I8" t="s">
        <v>780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 s="3">
        <v>0</v>
      </c>
      <c r="AR8" s="3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9</v>
      </c>
      <c r="AY8">
        <v>0</v>
      </c>
      <c r="AZ8">
        <v>11</v>
      </c>
      <c r="BA8">
        <v>0</v>
      </c>
      <c r="BB8">
        <v>6</v>
      </c>
      <c r="BC8">
        <v>0</v>
      </c>
      <c r="BD8">
        <v>0</v>
      </c>
      <c r="BF8">
        <v>0</v>
      </c>
      <c r="BG8">
        <v>0</v>
      </c>
    </row>
    <row r="9" spans="1:59" x14ac:dyDescent="0.2">
      <c r="A9" t="s">
        <v>340</v>
      </c>
      <c r="B9">
        <v>91.59</v>
      </c>
      <c r="C9">
        <v>2.75</v>
      </c>
      <c r="D9">
        <v>4046761</v>
      </c>
      <c r="E9" t="s">
        <v>330</v>
      </c>
      <c r="F9" t="s">
        <v>331</v>
      </c>
      <c r="G9" t="s">
        <v>333</v>
      </c>
      <c r="H9" t="s">
        <v>332</v>
      </c>
      <c r="I9" t="s">
        <v>781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4</v>
      </c>
      <c r="AQ9" s="3">
        <v>0</v>
      </c>
      <c r="AR9" s="3">
        <v>0</v>
      </c>
      <c r="AS9">
        <v>1</v>
      </c>
      <c r="AT9">
        <v>0</v>
      </c>
      <c r="AU9">
        <v>0</v>
      </c>
      <c r="AV9">
        <v>2</v>
      </c>
      <c r="AW9">
        <v>2</v>
      </c>
      <c r="AX9">
        <v>26</v>
      </c>
      <c r="AY9">
        <v>0</v>
      </c>
      <c r="AZ9">
        <v>33</v>
      </c>
      <c r="BA9">
        <v>0</v>
      </c>
      <c r="BB9">
        <v>7</v>
      </c>
      <c r="BC9">
        <v>14</v>
      </c>
      <c r="BD9">
        <v>12</v>
      </c>
      <c r="BF9">
        <v>0</v>
      </c>
      <c r="BG9">
        <v>0</v>
      </c>
    </row>
    <row r="10" spans="1:59" x14ac:dyDescent="0.2">
      <c r="A10" t="s">
        <v>341</v>
      </c>
      <c r="B10">
        <v>77.790000000000006</v>
      </c>
      <c r="C10">
        <v>2.37</v>
      </c>
      <c r="D10">
        <v>2644507</v>
      </c>
      <c r="E10" t="s">
        <v>342</v>
      </c>
      <c r="F10" t="s">
        <v>343</v>
      </c>
      <c r="G10" t="s">
        <v>325</v>
      </c>
      <c r="H10" t="s">
        <v>40</v>
      </c>
      <c r="I10" t="s">
        <v>782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 s="3">
        <v>0</v>
      </c>
      <c r="AR10" s="3">
        <v>-1</v>
      </c>
      <c r="AS10">
        <v>0</v>
      </c>
      <c r="AT10">
        <v>1</v>
      </c>
      <c r="AU10">
        <v>0</v>
      </c>
      <c r="AV10">
        <v>3</v>
      </c>
      <c r="AW10">
        <v>3</v>
      </c>
      <c r="AX10">
        <v>18</v>
      </c>
      <c r="AY10">
        <v>0</v>
      </c>
      <c r="AZ10">
        <v>21</v>
      </c>
      <c r="BA10">
        <v>0</v>
      </c>
      <c r="BB10">
        <v>6</v>
      </c>
      <c r="BC10">
        <v>0</v>
      </c>
      <c r="BD10">
        <v>0</v>
      </c>
      <c r="BF10">
        <v>0</v>
      </c>
      <c r="BG10">
        <v>0</v>
      </c>
    </row>
    <row r="11" spans="1:59" x14ac:dyDescent="0.2">
      <c r="A11" t="s">
        <v>344</v>
      </c>
      <c r="B11">
        <v>98.86</v>
      </c>
      <c r="C11">
        <v>3.37</v>
      </c>
      <c r="D11">
        <v>4362979</v>
      </c>
      <c r="E11" t="s">
        <v>345</v>
      </c>
      <c r="F11" t="s">
        <v>346</v>
      </c>
      <c r="G11" t="s">
        <v>325</v>
      </c>
      <c r="H11" t="s">
        <v>40</v>
      </c>
      <c r="I11" t="s">
        <v>783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2</v>
      </c>
      <c r="Z11">
        <v>1</v>
      </c>
      <c r="AA11">
        <v>1</v>
      </c>
      <c r="AB11">
        <v>2</v>
      </c>
      <c r="AC11">
        <v>0</v>
      </c>
      <c r="AD11">
        <v>1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3</v>
      </c>
      <c r="AQ11" s="3">
        <v>1</v>
      </c>
      <c r="AR11" s="3">
        <v>0</v>
      </c>
      <c r="AS11">
        <v>0</v>
      </c>
      <c r="AT11">
        <v>0</v>
      </c>
      <c r="AU11">
        <v>0</v>
      </c>
      <c r="AV11">
        <v>4</v>
      </c>
      <c r="AW11">
        <v>5</v>
      </c>
      <c r="AX11">
        <v>31</v>
      </c>
      <c r="AY11">
        <v>0</v>
      </c>
      <c r="AZ11">
        <v>39</v>
      </c>
      <c r="BA11">
        <v>0</v>
      </c>
      <c r="BB11">
        <v>21</v>
      </c>
      <c r="BC11">
        <v>2</v>
      </c>
      <c r="BD11">
        <v>2</v>
      </c>
      <c r="BF11">
        <v>0</v>
      </c>
      <c r="BG11">
        <v>1</v>
      </c>
    </row>
    <row r="12" spans="1:59" x14ac:dyDescent="0.2">
      <c r="A12" t="s">
        <v>347</v>
      </c>
      <c r="B12">
        <v>81.319999999999993</v>
      </c>
      <c r="C12">
        <v>5.04</v>
      </c>
      <c r="D12">
        <v>3726695</v>
      </c>
      <c r="E12" t="s">
        <v>348</v>
      </c>
      <c r="F12" t="s">
        <v>349</v>
      </c>
      <c r="G12" t="s">
        <v>325</v>
      </c>
      <c r="H12" t="s">
        <v>207</v>
      </c>
      <c r="I12" t="s">
        <v>784</v>
      </c>
      <c r="J12">
        <v>0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 s="3">
        <v>0</v>
      </c>
      <c r="AR12" s="3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21</v>
      </c>
      <c r="AY12">
        <v>0</v>
      </c>
      <c r="AZ12">
        <v>27</v>
      </c>
      <c r="BA12">
        <v>0</v>
      </c>
      <c r="BB12">
        <v>13</v>
      </c>
      <c r="BC12">
        <v>6</v>
      </c>
      <c r="BD12">
        <v>5</v>
      </c>
      <c r="BF12">
        <v>0</v>
      </c>
      <c r="BG12">
        <v>0</v>
      </c>
    </row>
    <row r="13" spans="1:59" x14ac:dyDescent="0.2">
      <c r="A13" t="s">
        <v>350</v>
      </c>
      <c r="B13">
        <v>78.290000000000006</v>
      </c>
      <c r="C13">
        <v>3.22</v>
      </c>
      <c r="D13">
        <v>3133947</v>
      </c>
      <c r="E13" t="s">
        <v>351</v>
      </c>
      <c r="F13" t="s">
        <v>352</v>
      </c>
      <c r="G13" t="s">
        <v>325</v>
      </c>
      <c r="H13" t="s">
        <v>40</v>
      </c>
      <c r="I13" t="s">
        <v>785</v>
      </c>
      <c r="J13">
        <v>0</v>
      </c>
      <c r="K13">
        <v>0</v>
      </c>
      <c r="L13">
        <v>7</v>
      </c>
      <c r="M13">
        <v>0</v>
      </c>
      <c r="N13">
        <v>1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3</v>
      </c>
      <c r="AA13">
        <v>0</v>
      </c>
      <c r="AB13">
        <v>0</v>
      </c>
      <c r="AC13">
        <v>1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</v>
      </c>
      <c r="AQ13" s="3">
        <v>-1</v>
      </c>
      <c r="AR13" s="3">
        <v>-1</v>
      </c>
      <c r="AS13">
        <v>0</v>
      </c>
      <c r="AT13">
        <v>0</v>
      </c>
      <c r="AU13">
        <v>0</v>
      </c>
      <c r="AV13">
        <v>5</v>
      </c>
      <c r="AW13">
        <v>5</v>
      </c>
      <c r="AX13">
        <v>26</v>
      </c>
      <c r="AY13">
        <v>0</v>
      </c>
      <c r="AZ13">
        <v>30</v>
      </c>
      <c r="BA13">
        <v>0</v>
      </c>
      <c r="BB13">
        <v>26</v>
      </c>
      <c r="BC13">
        <v>6</v>
      </c>
      <c r="BD13">
        <v>5</v>
      </c>
      <c r="BF13">
        <v>0</v>
      </c>
      <c r="BG13">
        <v>1</v>
      </c>
    </row>
    <row r="14" spans="1:59" x14ac:dyDescent="0.2">
      <c r="A14" t="s">
        <v>353</v>
      </c>
      <c r="B14">
        <v>93.93</v>
      </c>
      <c r="C14">
        <v>2.9</v>
      </c>
      <c r="D14">
        <v>5091131</v>
      </c>
      <c r="E14" t="s">
        <v>354</v>
      </c>
      <c r="F14" t="s">
        <v>355</v>
      </c>
      <c r="G14" t="s">
        <v>325</v>
      </c>
      <c r="H14" t="s">
        <v>356</v>
      </c>
      <c r="I14" t="s">
        <v>786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2</v>
      </c>
      <c r="Z14">
        <v>1</v>
      </c>
      <c r="AA14">
        <v>0</v>
      </c>
      <c r="AB14">
        <v>2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7</v>
      </c>
      <c r="AQ14" s="3">
        <v>0</v>
      </c>
      <c r="AR14" s="3">
        <v>-1</v>
      </c>
      <c r="AS14">
        <v>1</v>
      </c>
      <c r="AT14">
        <v>0</v>
      </c>
      <c r="AU14">
        <v>0</v>
      </c>
      <c r="AV14">
        <v>5</v>
      </c>
      <c r="AW14">
        <v>5</v>
      </c>
      <c r="AX14">
        <v>44</v>
      </c>
      <c r="AY14">
        <v>0</v>
      </c>
      <c r="AZ14">
        <v>47</v>
      </c>
      <c r="BA14">
        <v>0</v>
      </c>
      <c r="BB14">
        <v>21</v>
      </c>
      <c r="BC14">
        <v>4</v>
      </c>
      <c r="BD14">
        <v>4</v>
      </c>
      <c r="BF14">
        <v>0</v>
      </c>
      <c r="BG14">
        <v>0</v>
      </c>
    </row>
    <row r="15" spans="1:59" x14ac:dyDescent="0.2">
      <c r="A15" t="s">
        <v>357</v>
      </c>
      <c r="B15">
        <v>76.819999999999993</v>
      </c>
      <c r="C15">
        <v>1.32</v>
      </c>
      <c r="D15">
        <v>2357472</v>
      </c>
      <c r="E15" t="s">
        <v>358</v>
      </c>
      <c r="F15" t="s">
        <v>359</v>
      </c>
      <c r="G15" t="s">
        <v>333</v>
      </c>
      <c r="H15" t="s">
        <v>332</v>
      </c>
      <c r="I15" t="s">
        <v>787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</v>
      </c>
      <c r="AQ15" s="3">
        <v>0</v>
      </c>
      <c r="AR15" s="3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13</v>
      </c>
      <c r="AY15">
        <v>0</v>
      </c>
      <c r="AZ15">
        <v>15</v>
      </c>
      <c r="BA15">
        <v>0</v>
      </c>
      <c r="BB15">
        <v>3</v>
      </c>
      <c r="BC15">
        <v>0</v>
      </c>
      <c r="BD15">
        <v>0</v>
      </c>
      <c r="BF15">
        <v>0</v>
      </c>
      <c r="BG15">
        <v>0</v>
      </c>
    </row>
    <row r="16" spans="1:59" x14ac:dyDescent="0.2">
      <c r="A16" t="s">
        <v>360</v>
      </c>
      <c r="B16">
        <v>90.21</v>
      </c>
      <c r="C16">
        <v>1.1000000000000001</v>
      </c>
      <c r="D16">
        <v>3475236</v>
      </c>
      <c r="E16" t="s">
        <v>361</v>
      </c>
      <c r="F16" t="s">
        <v>362</v>
      </c>
      <c r="G16" t="s">
        <v>363</v>
      </c>
      <c r="H16" t="s">
        <v>43</v>
      </c>
      <c r="I16" t="s">
        <v>788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2</v>
      </c>
      <c r="AQ16" s="3">
        <v>0</v>
      </c>
      <c r="AR16" s="3">
        <v>0</v>
      </c>
      <c r="AS16">
        <v>1</v>
      </c>
      <c r="AT16">
        <v>0</v>
      </c>
      <c r="AU16">
        <v>0</v>
      </c>
      <c r="AV16">
        <v>2</v>
      </c>
      <c r="AW16">
        <v>2</v>
      </c>
      <c r="AX16">
        <v>12</v>
      </c>
      <c r="AY16">
        <v>1</v>
      </c>
      <c r="AZ16">
        <v>13</v>
      </c>
      <c r="BA16">
        <v>0</v>
      </c>
      <c r="BB16">
        <v>6</v>
      </c>
      <c r="BC16">
        <v>0</v>
      </c>
      <c r="BD16">
        <v>0</v>
      </c>
      <c r="BE16" s="3">
        <v>1</v>
      </c>
      <c r="BF16">
        <v>1</v>
      </c>
      <c r="BG16">
        <v>0</v>
      </c>
    </row>
    <row r="17" spans="1:59" x14ac:dyDescent="0.2">
      <c r="A17" t="s">
        <v>364</v>
      </c>
      <c r="B17">
        <v>83.22</v>
      </c>
      <c r="C17">
        <v>6.52</v>
      </c>
      <c r="D17">
        <v>3660718</v>
      </c>
      <c r="E17" t="s">
        <v>365</v>
      </c>
      <c r="F17" t="s">
        <v>366</v>
      </c>
      <c r="G17" t="s">
        <v>325</v>
      </c>
      <c r="H17" t="s">
        <v>207</v>
      </c>
      <c r="I17" t="s">
        <v>789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</v>
      </c>
      <c r="AQ17" s="3">
        <v>0</v>
      </c>
      <c r="AR17" s="3">
        <v>-1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14</v>
      </c>
      <c r="AY17">
        <v>0</v>
      </c>
      <c r="AZ17">
        <v>19</v>
      </c>
      <c r="BA17">
        <v>0</v>
      </c>
      <c r="BB17">
        <v>7</v>
      </c>
      <c r="BC17">
        <v>0</v>
      </c>
      <c r="BD17">
        <v>0</v>
      </c>
      <c r="BF17">
        <v>0</v>
      </c>
      <c r="BG17">
        <v>0</v>
      </c>
    </row>
    <row r="18" spans="1:59" x14ac:dyDescent="0.2">
      <c r="A18" t="s">
        <v>367</v>
      </c>
      <c r="B18">
        <v>100</v>
      </c>
      <c r="C18">
        <v>2.2999999999999998</v>
      </c>
      <c r="D18">
        <v>2954813</v>
      </c>
      <c r="E18" t="s">
        <v>368</v>
      </c>
      <c r="F18" t="s">
        <v>369</v>
      </c>
      <c r="G18" t="s">
        <v>325</v>
      </c>
      <c r="H18" t="s">
        <v>207</v>
      </c>
      <c r="I18" t="s">
        <v>790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</v>
      </c>
      <c r="AQ18" s="3">
        <v>0</v>
      </c>
      <c r="AR18" s="3">
        <v>-1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17</v>
      </c>
      <c r="AY18">
        <v>0</v>
      </c>
      <c r="AZ18">
        <v>19</v>
      </c>
      <c r="BA18">
        <v>0</v>
      </c>
      <c r="BB18">
        <v>7</v>
      </c>
      <c r="BC18">
        <v>0</v>
      </c>
      <c r="BD18">
        <v>0</v>
      </c>
      <c r="BF18">
        <v>0</v>
      </c>
      <c r="BG18">
        <v>0</v>
      </c>
    </row>
    <row r="19" spans="1:59" x14ac:dyDescent="0.2">
      <c r="A19" t="s">
        <v>370</v>
      </c>
      <c r="B19">
        <v>73.33</v>
      </c>
      <c r="C19">
        <v>2.39</v>
      </c>
      <c r="D19">
        <v>2370807</v>
      </c>
      <c r="E19" t="s">
        <v>371</v>
      </c>
      <c r="F19" t="s">
        <v>372</v>
      </c>
      <c r="G19" t="s">
        <v>325</v>
      </c>
      <c r="H19" t="s">
        <v>33</v>
      </c>
      <c r="I19" t="s">
        <v>791</v>
      </c>
      <c r="J19">
        <v>0</v>
      </c>
      <c r="K19">
        <v>0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2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 s="3">
        <v>0</v>
      </c>
      <c r="AR19" s="3">
        <v>-1</v>
      </c>
      <c r="AS19">
        <v>0</v>
      </c>
      <c r="AT19">
        <v>0</v>
      </c>
      <c r="AU19">
        <v>0</v>
      </c>
      <c r="AV19">
        <v>2</v>
      </c>
      <c r="AW19">
        <v>2</v>
      </c>
      <c r="AX19">
        <v>25</v>
      </c>
      <c r="AY19">
        <v>0</v>
      </c>
      <c r="AZ19">
        <v>28</v>
      </c>
      <c r="BA19">
        <v>0</v>
      </c>
      <c r="BB19">
        <v>11</v>
      </c>
      <c r="BC19">
        <v>5</v>
      </c>
      <c r="BD19">
        <v>4</v>
      </c>
      <c r="BF19">
        <v>0</v>
      </c>
      <c r="BG19">
        <v>0</v>
      </c>
    </row>
    <row r="20" spans="1:59" x14ac:dyDescent="0.2">
      <c r="A20" t="s">
        <v>373</v>
      </c>
      <c r="B20">
        <v>93.09</v>
      </c>
      <c r="C20">
        <v>3.32</v>
      </c>
      <c r="D20">
        <v>2284150</v>
      </c>
      <c r="E20" t="s">
        <v>374</v>
      </c>
      <c r="F20" t="s">
        <v>375</v>
      </c>
      <c r="G20" t="s">
        <v>377</v>
      </c>
      <c r="H20" t="s">
        <v>376</v>
      </c>
      <c r="I20" t="s">
        <v>792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2</v>
      </c>
      <c r="AQ20" s="3">
        <v>0</v>
      </c>
      <c r="AR20" s="3">
        <v>0</v>
      </c>
      <c r="AS20">
        <v>0</v>
      </c>
      <c r="AT20">
        <v>4</v>
      </c>
      <c r="AU20">
        <v>22</v>
      </c>
      <c r="AV20">
        <v>1</v>
      </c>
      <c r="AW20">
        <v>0</v>
      </c>
      <c r="AX20">
        <v>0</v>
      </c>
      <c r="AY20">
        <v>0</v>
      </c>
      <c r="AZ20">
        <v>18</v>
      </c>
      <c r="BA20">
        <v>0</v>
      </c>
      <c r="BB20">
        <v>0</v>
      </c>
      <c r="BC20">
        <v>1</v>
      </c>
      <c r="BD20">
        <v>0</v>
      </c>
      <c r="BF20">
        <v>1</v>
      </c>
      <c r="BG20">
        <v>1</v>
      </c>
    </row>
    <row r="21" spans="1:59" x14ac:dyDescent="0.2">
      <c r="A21" t="s">
        <v>378</v>
      </c>
      <c r="B21">
        <v>92.05</v>
      </c>
      <c r="C21">
        <v>4.0199999999999996</v>
      </c>
      <c r="D21">
        <v>3676973</v>
      </c>
      <c r="E21" t="s">
        <v>379</v>
      </c>
      <c r="F21" t="s">
        <v>380</v>
      </c>
      <c r="G21" t="s">
        <v>363</v>
      </c>
      <c r="H21" t="s">
        <v>43</v>
      </c>
      <c r="I21" t="s">
        <v>793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</v>
      </c>
      <c r="AQ21" s="3">
        <v>0</v>
      </c>
      <c r="AR21" s="3">
        <v>0</v>
      </c>
      <c r="AS21">
        <v>0</v>
      </c>
      <c r="AT21">
        <v>0</v>
      </c>
      <c r="AU21">
        <v>0</v>
      </c>
      <c r="AV21">
        <v>3</v>
      </c>
      <c r="AW21">
        <v>3</v>
      </c>
      <c r="AX21">
        <v>27</v>
      </c>
      <c r="AY21">
        <v>1</v>
      </c>
      <c r="AZ21">
        <v>23</v>
      </c>
      <c r="BA21">
        <v>0</v>
      </c>
      <c r="BB21">
        <v>4</v>
      </c>
      <c r="BC21">
        <v>9</v>
      </c>
      <c r="BD21">
        <v>7</v>
      </c>
      <c r="BE21" s="3">
        <v>1</v>
      </c>
      <c r="BF21">
        <v>0</v>
      </c>
      <c r="BG21">
        <v>0</v>
      </c>
    </row>
    <row r="22" spans="1:59" x14ac:dyDescent="0.2">
      <c r="A22" t="s">
        <v>381</v>
      </c>
      <c r="B22">
        <v>88.95</v>
      </c>
      <c r="C22">
        <v>2.4500000000000002</v>
      </c>
      <c r="D22">
        <v>3740548</v>
      </c>
      <c r="E22" t="s">
        <v>382</v>
      </c>
      <c r="F22" t="s">
        <v>383</v>
      </c>
      <c r="G22" t="s">
        <v>325</v>
      </c>
      <c r="H22" t="s">
        <v>32</v>
      </c>
      <c r="I22" t="s">
        <v>794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2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0</v>
      </c>
      <c r="AN22">
        <v>0</v>
      </c>
      <c r="AO22">
        <v>0</v>
      </c>
      <c r="AP22">
        <v>4</v>
      </c>
      <c r="AQ22" s="3">
        <v>0</v>
      </c>
      <c r="AR22" s="3">
        <v>-1</v>
      </c>
      <c r="AS22">
        <v>0</v>
      </c>
      <c r="AT22">
        <v>0</v>
      </c>
      <c r="AU22">
        <v>0</v>
      </c>
      <c r="AV22">
        <v>5</v>
      </c>
      <c r="AW22">
        <v>5</v>
      </c>
      <c r="AX22">
        <v>39</v>
      </c>
      <c r="AY22">
        <v>0</v>
      </c>
      <c r="AZ22">
        <v>49</v>
      </c>
      <c r="BA22">
        <v>0</v>
      </c>
      <c r="BB22">
        <v>11</v>
      </c>
      <c r="BC22">
        <v>10</v>
      </c>
      <c r="BD22">
        <v>9</v>
      </c>
      <c r="BF22">
        <v>1</v>
      </c>
      <c r="BG22">
        <v>0</v>
      </c>
    </row>
    <row r="23" spans="1:59" x14ac:dyDescent="0.2">
      <c r="A23" t="s">
        <v>384</v>
      </c>
      <c r="B23">
        <v>88.79</v>
      </c>
      <c r="C23">
        <v>3.55</v>
      </c>
      <c r="D23">
        <v>4499137</v>
      </c>
      <c r="E23" t="s">
        <v>385</v>
      </c>
      <c r="F23" t="s">
        <v>386</v>
      </c>
      <c r="G23" t="s">
        <v>387</v>
      </c>
      <c r="H23" t="s">
        <v>37</v>
      </c>
      <c r="I23" t="s">
        <v>795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3</v>
      </c>
      <c r="AQ23" s="3">
        <v>-1</v>
      </c>
      <c r="AR23" s="3">
        <v>0</v>
      </c>
      <c r="AS23">
        <v>0</v>
      </c>
      <c r="AT23">
        <v>0</v>
      </c>
      <c r="AU23">
        <v>0</v>
      </c>
      <c r="AV23">
        <v>4</v>
      </c>
      <c r="AW23">
        <v>5</v>
      </c>
      <c r="AX23">
        <v>41</v>
      </c>
      <c r="AY23">
        <v>0</v>
      </c>
      <c r="AZ23">
        <v>47</v>
      </c>
      <c r="BA23">
        <v>0</v>
      </c>
      <c r="BB23">
        <v>9</v>
      </c>
      <c r="BC23">
        <v>0</v>
      </c>
      <c r="BD23">
        <v>0</v>
      </c>
      <c r="BF23">
        <v>0</v>
      </c>
      <c r="BG23">
        <v>0</v>
      </c>
    </row>
    <row r="24" spans="1:59" x14ac:dyDescent="0.2">
      <c r="A24" t="s">
        <v>388</v>
      </c>
      <c r="B24">
        <v>72.319999999999993</v>
      </c>
      <c r="C24">
        <v>5.25</v>
      </c>
      <c r="D24">
        <v>4347330</v>
      </c>
      <c r="E24" t="s">
        <v>389</v>
      </c>
      <c r="F24" t="s">
        <v>390</v>
      </c>
      <c r="G24" t="s">
        <v>392</v>
      </c>
      <c r="H24" t="s">
        <v>391</v>
      </c>
      <c r="I24" t="s">
        <v>796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4</v>
      </c>
      <c r="AQ24" s="3">
        <v>0</v>
      </c>
      <c r="AR24" s="3">
        <v>0</v>
      </c>
      <c r="AS24">
        <v>0</v>
      </c>
      <c r="AT24">
        <v>0</v>
      </c>
      <c r="AU24">
        <v>0</v>
      </c>
      <c r="AV24">
        <v>2</v>
      </c>
      <c r="AW24">
        <v>3</v>
      </c>
      <c r="AX24">
        <v>36</v>
      </c>
      <c r="AY24">
        <v>0</v>
      </c>
      <c r="AZ24">
        <v>42</v>
      </c>
      <c r="BA24">
        <v>1</v>
      </c>
      <c r="BB24">
        <v>8</v>
      </c>
      <c r="BC24">
        <v>10</v>
      </c>
      <c r="BD24">
        <v>8</v>
      </c>
      <c r="BF24">
        <v>0</v>
      </c>
      <c r="BG24">
        <v>0</v>
      </c>
    </row>
    <row r="25" spans="1:59" x14ac:dyDescent="0.2">
      <c r="A25" t="s">
        <v>393</v>
      </c>
      <c r="B25">
        <v>79.930000000000007</v>
      </c>
      <c r="C25">
        <v>8.3800000000000008</v>
      </c>
      <c r="D25">
        <v>3013417</v>
      </c>
      <c r="E25" t="s">
        <v>394</v>
      </c>
      <c r="F25" t="s">
        <v>395</v>
      </c>
      <c r="G25" t="s">
        <v>333</v>
      </c>
      <c r="H25" t="s">
        <v>332</v>
      </c>
      <c r="I25" t="s">
        <v>797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</v>
      </c>
      <c r="AQ25" s="3">
        <v>0</v>
      </c>
      <c r="AR25" s="3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10</v>
      </c>
      <c r="AY25">
        <v>0</v>
      </c>
      <c r="AZ25">
        <v>15</v>
      </c>
      <c r="BA25">
        <v>0</v>
      </c>
      <c r="BB25">
        <v>6</v>
      </c>
      <c r="BC25">
        <v>0</v>
      </c>
      <c r="BD25">
        <v>0</v>
      </c>
      <c r="BF25">
        <v>0</v>
      </c>
      <c r="BG25">
        <v>0</v>
      </c>
    </row>
    <row r="26" spans="1:59" x14ac:dyDescent="0.2">
      <c r="A26" t="s">
        <v>396</v>
      </c>
      <c r="B26">
        <v>94.11</v>
      </c>
      <c r="C26">
        <v>1.89</v>
      </c>
      <c r="D26">
        <v>3466133</v>
      </c>
      <c r="E26" t="s">
        <v>397</v>
      </c>
      <c r="F26" t="s">
        <v>398</v>
      </c>
      <c r="G26" t="s">
        <v>325</v>
      </c>
      <c r="H26" t="s">
        <v>33</v>
      </c>
      <c r="I26" t="s">
        <v>798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2</v>
      </c>
      <c r="AF26">
        <v>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</v>
      </c>
      <c r="AQ26" s="3">
        <v>1</v>
      </c>
      <c r="AR26" s="3">
        <v>-1</v>
      </c>
      <c r="AS26">
        <v>1</v>
      </c>
      <c r="AT26">
        <v>0</v>
      </c>
      <c r="AU26">
        <v>0</v>
      </c>
      <c r="AV26">
        <v>5</v>
      </c>
      <c r="AW26">
        <v>6</v>
      </c>
      <c r="AX26">
        <v>26</v>
      </c>
      <c r="AY26">
        <v>1</v>
      </c>
      <c r="AZ26">
        <v>35</v>
      </c>
      <c r="BA26">
        <v>0</v>
      </c>
      <c r="BB26">
        <v>8</v>
      </c>
      <c r="BC26">
        <v>10</v>
      </c>
      <c r="BD26">
        <v>9</v>
      </c>
      <c r="BE26" s="3">
        <v>1</v>
      </c>
      <c r="BF26">
        <v>1</v>
      </c>
      <c r="BG26">
        <v>0</v>
      </c>
    </row>
    <row r="27" spans="1:59" x14ac:dyDescent="0.2">
      <c r="A27" t="s">
        <v>399</v>
      </c>
      <c r="B27">
        <v>79.63</v>
      </c>
      <c r="C27">
        <v>1.1200000000000001</v>
      </c>
      <c r="D27">
        <v>2738591</v>
      </c>
      <c r="E27" t="s">
        <v>400</v>
      </c>
      <c r="F27" t="s">
        <v>401</v>
      </c>
      <c r="G27" t="s">
        <v>403</v>
      </c>
      <c r="H27" t="s">
        <v>402</v>
      </c>
      <c r="I27" t="s">
        <v>799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5</v>
      </c>
      <c r="AQ27" s="3">
        <v>0</v>
      </c>
      <c r="AR27" s="3">
        <v>0</v>
      </c>
      <c r="AS27">
        <v>1</v>
      </c>
      <c r="AT27">
        <v>0</v>
      </c>
      <c r="AU27">
        <v>0</v>
      </c>
      <c r="AV27">
        <v>3</v>
      </c>
      <c r="AW27">
        <v>3</v>
      </c>
      <c r="AX27">
        <v>25</v>
      </c>
      <c r="AY27">
        <v>1</v>
      </c>
      <c r="AZ27">
        <v>34</v>
      </c>
      <c r="BA27">
        <v>0</v>
      </c>
      <c r="BB27">
        <v>7</v>
      </c>
      <c r="BC27">
        <v>5</v>
      </c>
      <c r="BD27">
        <v>3</v>
      </c>
      <c r="BE27" s="3">
        <v>1</v>
      </c>
      <c r="BF27">
        <v>1</v>
      </c>
      <c r="BG27">
        <v>0</v>
      </c>
    </row>
    <row r="28" spans="1:59" x14ac:dyDescent="0.2">
      <c r="A28" t="s">
        <v>404</v>
      </c>
      <c r="B28">
        <v>79.38</v>
      </c>
      <c r="C28">
        <v>2.76</v>
      </c>
      <c r="D28">
        <v>3274599</v>
      </c>
      <c r="E28" t="s">
        <v>405</v>
      </c>
      <c r="F28" t="s">
        <v>406</v>
      </c>
      <c r="G28" t="s">
        <v>325</v>
      </c>
      <c r="H28" t="s">
        <v>40</v>
      </c>
      <c r="I28" t="s">
        <v>800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2</v>
      </c>
      <c r="W28">
        <v>1</v>
      </c>
      <c r="X28">
        <v>0</v>
      </c>
      <c r="Y28">
        <v>1</v>
      </c>
      <c r="Z28">
        <v>1</v>
      </c>
      <c r="AA28">
        <v>0</v>
      </c>
      <c r="AB28">
        <v>3</v>
      </c>
      <c r="AC28">
        <v>1</v>
      </c>
      <c r="AD28">
        <v>1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</v>
      </c>
      <c r="AQ28" s="3">
        <v>1</v>
      </c>
      <c r="AR28" s="3">
        <v>-1</v>
      </c>
      <c r="AS28">
        <v>0</v>
      </c>
      <c r="AT28">
        <v>0</v>
      </c>
      <c r="AU28">
        <v>0</v>
      </c>
      <c r="AV28">
        <v>4</v>
      </c>
      <c r="AW28">
        <v>4</v>
      </c>
      <c r="AX28">
        <v>30</v>
      </c>
      <c r="AY28">
        <v>0</v>
      </c>
      <c r="AZ28">
        <v>36</v>
      </c>
      <c r="BA28">
        <v>0</v>
      </c>
      <c r="BB28">
        <v>20</v>
      </c>
      <c r="BC28">
        <v>5</v>
      </c>
      <c r="BD28">
        <v>5</v>
      </c>
      <c r="BF28">
        <v>1</v>
      </c>
      <c r="BG28">
        <v>1</v>
      </c>
    </row>
    <row r="29" spans="1:59" x14ac:dyDescent="0.2">
      <c r="A29" t="s">
        <v>407</v>
      </c>
      <c r="B29">
        <v>97.09</v>
      </c>
      <c r="C29">
        <v>1.22</v>
      </c>
      <c r="D29">
        <v>3773974</v>
      </c>
      <c r="E29" t="s">
        <v>408</v>
      </c>
      <c r="F29" t="s">
        <v>409</v>
      </c>
      <c r="G29" t="s">
        <v>325</v>
      </c>
      <c r="H29" t="s">
        <v>33</v>
      </c>
      <c r="I29" t="s">
        <v>801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3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 s="3">
        <v>1</v>
      </c>
      <c r="AR29" s="3">
        <v>1</v>
      </c>
      <c r="AS29">
        <v>0</v>
      </c>
      <c r="AT29">
        <v>1</v>
      </c>
      <c r="AU29">
        <v>1</v>
      </c>
      <c r="AV29">
        <v>6</v>
      </c>
      <c r="AW29">
        <v>7</v>
      </c>
      <c r="AX29">
        <v>40</v>
      </c>
      <c r="AY29">
        <v>0</v>
      </c>
      <c r="AZ29">
        <v>53</v>
      </c>
      <c r="BA29">
        <v>1</v>
      </c>
      <c r="BB29">
        <v>13</v>
      </c>
      <c r="BC29">
        <v>13</v>
      </c>
      <c r="BD29">
        <v>11</v>
      </c>
      <c r="BF29">
        <v>0</v>
      </c>
      <c r="BG29">
        <v>0</v>
      </c>
    </row>
    <row r="30" spans="1:59" x14ac:dyDescent="0.2">
      <c r="A30" t="s">
        <v>410</v>
      </c>
      <c r="B30">
        <v>88.72</v>
      </c>
      <c r="C30">
        <v>2.1800000000000002</v>
      </c>
      <c r="D30">
        <v>3152684</v>
      </c>
      <c r="E30" t="s">
        <v>411</v>
      </c>
      <c r="F30" t="s">
        <v>412</v>
      </c>
      <c r="G30" t="s">
        <v>413</v>
      </c>
      <c r="H30" t="s">
        <v>293</v>
      </c>
      <c r="I30" t="s">
        <v>802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 s="3">
        <v>0</v>
      </c>
      <c r="AR30" s="3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28</v>
      </c>
      <c r="AY30">
        <v>0</v>
      </c>
      <c r="AZ30">
        <v>26</v>
      </c>
      <c r="BA30">
        <v>0</v>
      </c>
      <c r="BB30">
        <v>2</v>
      </c>
      <c r="BC30">
        <v>3</v>
      </c>
      <c r="BD30">
        <v>2</v>
      </c>
      <c r="BF30">
        <v>0</v>
      </c>
      <c r="BG30">
        <v>0</v>
      </c>
    </row>
    <row r="31" spans="1:59" x14ac:dyDescent="0.2">
      <c r="A31" t="s">
        <v>414</v>
      </c>
      <c r="B31">
        <v>95.16</v>
      </c>
      <c r="C31">
        <v>2.54</v>
      </c>
      <c r="D31">
        <v>2290114</v>
      </c>
      <c r="E31" t="s">
        <v>415</v>
      </c>
      <c r="F31" t="s">
        <v>416</v>
      </c>
      <c r="G31" t="s">
        <v>325</v>
      </c>
      <c r="H31" t="s">
        <v>417</v>
      </c>
      <c r="I31" t="s">
        <v>803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 s="3">
        <v>0</v>
      </c>
      <c r="AR31" s="3">
        <v>-1</v>
      </c>
      <c r="AS31">
        <v>1</v>
      </c>
      <c r="AT31">
        <v>0</v>
      </c>
      <c r="AU31">
        <v>0</v>
      </c>
      <c r="AV31">
        <v>2</v>
      </c>
      <c r="AW31">
        <v>2</v>
      </c>
      <c r="AX31">
        <v>17</v>
      </c>
      <c r="AY31">
        <v>0</v>
      </c>
      <c r="AZ31">
        <v>18</v>
      </c>
      <c r="BA31">
        <v>0</v>
      </c>
      <c r="BB31">
        <v>2</v>
      </c>
      <c r="BC31">
        <v>0</v>
      </c>
      <c r="BD31">
        <v>1</v>
      </c>
      <c r="BE31" s="3">
        <v>1</v>
      </c>
      <c r="BF31">
        <v>0</v>
      </c>
      <c r="BG31">
        <v>0</v>
      </c>
    </row>
    <row r="32" spans="1:59" x14ac:dyDescent="0.2">
      <c r="A32" t="s">
        <v>418</v>
      </c>
      <c r="B32">
        <v>92.02</v>
      </c>
      <c r="C32">
        <v>1.62</v>
      </c>
      <c r="D32">
        <v>4204583</v>
      </c>
      <c r="E32" t="s">
        <v>385</v>
      </c>
      <c r="F32" t="s">
        <v>386</v>
      </c>
      <c r="G32" t="s">
        <v>387</v>
      </c>
      <c r="H32" t="s">
        <v>37</v>
      </c>
      <c r="I32" t="s">
        <v>804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3</v>
      </c>
      <c r="AQ32" s="3">
        <v>0</v>
      </c>
      <c r="AR32" s="3">
        <v>0</v>
      </c>
      <c r="AS32">
        <v>0</v>
      </c>
      <c r="AT32">
        <v>0</v>
      </c>
      <c r="AU32">
        <v>0</v>
      </c>
      <c r="AV32">
        <v>4</v>
      </c>
      <c r="AW32">
        <v>4</v>
      </c>
      <c r="AX32">
        <v>43</v>
      </c>
      <c r="AY32">
        <v>0</v>
      </c>
      <c r="AZ32">
        <v>49</v>
      </c>
      <c r="BA32">
        <v>0</v>
      </c>
      <c r="BB32">
        <v>9</v>
      </c>
      <c r="BC32">
        <v>0</v>
      </c>
      <c r="BD32">
        <v>0</v>
      </c>
      <c r="BF32">
        <v>0</v>
      </c>
      <c r="BG32">
        <v>0</v>
      </c>
    </row>
    <row r="33" spans="1:59" x14ac:dyDescent="0.2">
      <c r="A33" t="s">
        <v>419</v>
      </c>
      <c r="B33">
        <v>95.05</v>
      </c>
      <c r="C33">
        <v>3.4</v>
      </c>
      <c r="D33">
        <v>2944774</v>
      </c>
      <c r="E33" t="s">
        <v>420</v>
      </c>
      <c r="F33" t="s">
        <v>421</v>
      </c>
      <c r="G33" t="s">
        <v>43</v>
      </c>
      <c r="H33" t="s">
        <v>43</v>
      </c>
      <c r="I33" t="s">
        <v>805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s="3">
        <v>0</v>
      </c>
      <c r="AR33" s="3">
        <v>-1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19</v>
      </c>
      <c r="AY33">
        <v>0</v>
      </c>
      <c r="AZ33">
        <v>20</v>
      </c>
      <c r="BA33">
        <v>0</v>
      </c>
      <c r="BB33">
        <v>3</v>
      </c>
      <c r="BC33">
        <v>7</v>
      </c>
      <c r="BD33">
        <v>5</v>
      </c>
      <c r="BF33">
        <v>0</v>
      </c>
      <c r="BG33">
        <v>0</v>
      </c>
    </row>
    <row r="34" spans="1:59" x14ac:dyDescent="0.2">
      <c r="A34" t="s">
        <v>422</v>
      </c>
      <c r="B34">
        <v>83.47</v>
      </c>
      <c r="C34">
        <v>4.3600000000000003</v>
      </c>
      <c r="D34">
        <v>2947806</v>
      </c>
      <c r="E34" t="s">
        <v>423</v>
      </c>
      <c r="F34" t="s">
        <v>424</v>
      </c>
      <c r="G34" t="s">
        <v>426</v>
      </c>
      <c r="H34" t="s">
        <v>425</v>
      </c>
      <c r="I34" t="s">
        <v>806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 s="3">
        <v>0</v>
      </c>
      <c r="AR34" s="3">
        <v>0</v>
      </c>
      <c r="AS34">
        <v>0</v>
      </c>
      <c r="AT34">
        <v>1</v>
      </c>
      <c r="AU34">
        <v>0</v>
      </c>
      <c r="AV34">
        <v>2</v>
      </c>
      <c r="AW34">
        <v>1</v>
      </c>
      <c r="AX34">
        <v>14</v>
      </c>
      <c r="AY34">
        <v>0</v>
      </c>
      <c r="AZ34">
        <v>15</v>
      </c>
      <c r="BA34">
        <v>0</v>
      </c>
      <c r="BB34">
        <v>3</v>
      </c>
      <c r="BC34">
        <v>0</v>
      </c>
      <c r="BD34">
        <v>0</v>
      </c>
      <c r="BF34">
        <v>0</v>
      </c>
      <c r="BG34">
        <v>0</v>
      </c>
    </row>
    <row r="35" spans="1:59" x14ac:dyDescent="0.2">
      <c r="A35" t="s">
        <v>427</v>
      </c>
      <c r="B35">
        <v>92.7</v>
      </c>
      <c r="C35">
        <v>2.31</v>
      </c>
      <c r="D35">
        <v>3055955</v>
      </c>
      <c r="E35" t="s">
        <v>428</v>
      </c>
      <c r="F35" t="s">
        <v>429</v>
      </c>
      <c r="G35" t="s">
        <v>325</v>
      </c>
      <c r="H35" t="s">
        <v>40</v>
      </c>
      <c r="I35" t="s">
        <v>807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3</v>
      </c>
      <c r="AQ35" s="3">
        <v>0</v>
      </c>
      <c r="AR35" s="3">
        <v>-1</v>
      </c>
      <c r="AS35">
        <v>0</v>
      </c>
      <c r="AT35">
        <v>0</v>
      </c>
      <c r="AU35">
        <v>0</v>
      </c>
      <c r="AV35">
        <v>5</v>
      </c>
      <c r="AW35">
        <v>4</v>
      </c>
      <c r="AX35">
        <v>30</v>
      </c>
      <c r="AY35">
        <v>0</v>
      </c>
      <c r="AZ35">
        <v>36</v>
      </c>
      <c r="BA35">
        <v>0</v>
      </c>
      <c r="BB35">
        <v>15</v>
      </c>
      <c r="BC35">
        <v>1</v>
      </c>
      <c r="BD35">
        <v>1</v>
      </c>
      <c r="BF35">
        <v>0</v>
      </c>
      <c r="BG35">
        <v>0</v>
      </c>
    </row>
    <row r="36" spans="1:59" x14ac:dyDescent="0.2">
      <c r="A36" t="s">
        <v>430</v>
      </c>
      <c r="B36">
        <v>94.11</v>
      </c>
      <c r="C36">
        <v>7.69</v>
      </c>
      <c r="D36">
        <v>3973893</v>
      </c>
      <c r="E36" t="s">
        <v>431</v>
      </c>
      <c r="F36" t="s">
        <v>432</v>
      </c>
      <c r="G36" t="s">
        <v>434</v>
      </c>
      <c r="H36" t="s">
        <v>433</v>
      </c>
      <c r="I36" t="s">
        <v>808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</v>
      </c>
      <c r="AQ36" s="3">
        <v>0</v>
      </c>
      <c r="AR36" s="3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27</v>
      </c>
      <c r="AY36">
        <v>1</v>
      </c>
      <c r="AZ36">
        <v>27</v>
      </c>
      <c r="BA36">
        <v>0</v>
      </c>
      <c r="BB36">
        <v>4</v>
      </c>
      <c r="BC36">
        <v>9</v>
      </c>
      <c r="BD36">
        <v>6</v>
      </c>
      <c r="BE36" s="3">
        <v>1</v>
      </c>
      <c r="BF36">
        <v>0</v>
      </c>
      <c r="BG36">
        <v>0</v>
      </c>
    </row>
    <row r="37" spans="1:59" x14ac:dyDescent="0.2">
      <c r="A37" t="s">
        <v>435</v>
      </c>
      <c r="B37">
        <v>83.5</v>
      </c>
      <c r="C37">
        <v>5.33</v>
      </c>
      <c r="D37">
        <v>4079862</v>
      </c>
      <c r="E37" t="s">
        <v>436</v>
      </c>
      <c r="F37" t="s">
        <v>437</v>
      </c>
      <c r="G37" t="s">
        <v>325</v>
      </c>
      <c r="H37" t="s">
        <v>33</v>
      </c>
      <c r="I37" t="s">
        <v>809</v>
      </c>
      <c r="J37">
        <v>1</v>
      </c>
      <c r="K37">
        <v>0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1</v>
      </c>
      <c r="Z37">
        <v>2</v>
      </c>
      <c r="AA37">
        <v>0</v>
      </c>
      <c r="AB37">
        <v>0</v>
      </c>
      <c r="AC37">
        <v>2</v>
      </c>
      <c r="AD37">
        <v>3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3</v>
      </c>
      <c r="AQ37" s="3">
        <v>0</v>
      </c>
      <c r="AR37" s="3">
        <v>1</v>
      </c>
      <c r="AS37">
        <v>0</v>
      </c>
      <c r="AT37">
        <v>2</v>
      </c>
      <c r="AU37">
        <v>0</v>
      </c>
      <c r="AV37">
        <v>15</v>
      </c>
      <c r="AW37">
        <v>15</v>
      </c>
      <c r="AX37">
        <v>42</v>
      </c>
      <c r="AY37">
        <v>0</v>
      </c>
      <c r="AZ37">
        <v>54</v>
      </c>
      <c r="BA37">
        <v>0</v>
      </c>
      <c r="BB37">
        <v>8</v>
      </c>
      <c r="BC37">
        <v>11</v>
      </c>
      <c r="BD37">
        <v>10</v>
      </c>
      <c r="BF37">
        <v>0</v>
      </c>
      <c r="BG37">
        <v>1</v>
      </c>
    </row>
    <row r="38" spans="1:59" x14ac:dyDescent="0.2">
      <c r="A38" t="s">
        <v>438</v>
      </c>
      <c r="B38">
        <v>97.65</v>
      </c>
      <c r="C38">
        <v>0.28999999999999998</v>
      </c>
      <c r="D38">
        <v>2667839</v>
      </c>
      <c r="E38" t="s">
        <v>439</v>
      </c>
      <c r="F38" t="s">
        <v>440</v>
      </c>
      <c r="G38" t="s">
        <v>403</v>
      </c>
      <c r="H38" t="s">
        <v>441</v>
      </c>
      <c r="I38" t="s">
        <v>810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4</v>
      </c>
      <c r="AQ38" s="3">
        <v>0</v>
      </c>
      <c r="AR38" s="3">
        <v>0</v>
      </c>
      <c r="AS38">
        <v>0</v>
      </c>
      <c r="AT38">
        <v>0</v>
      </c>
      <c r="AU38">
        <v>0</v>
      </c>
      <c r="AV38">
        <v>5</v>
      </c>
      <c r="AW38">
        <v>5</v>
      </c>
      <c r="AX38">
        <v>32</v>
      </c>
      <c r="AY38">
        <v>1</v>
      </c>
      <c r="AZ38">
        <v>37</v>
      </c>
      <c r="BA38">
        <v>0</v>
      </c>
      <c r="BB38">
        <v>11</v>
      </c>
      <c r="BC38">
        <v>0</v>
      </c>
      <c r="BD38">
        <v>0</v>
      </c>
      <c r="BE38" s="3">
        <v>1</v>
      </c>
      <c r="BF38">
        <v>1</v>
      </c>
      <c r="BG38">
        <v>0</v>
      </c>
    </row>
    <row r="39" spans="1:59" x14ac:dyDescent="0.2">
      <c r="A39" t="s">
        <v>442</v>
      </c>
      <c r="B39">
        <v>89.27</v>
      </c>
      <c r="C39">
        <v>1.88</v>
      </c>
      <c r="D39">
        <v>2872327</v>
      </c>
      <c r="E39" t="s">
        <v>443</v>
      </c>
      <c r="F39" t="s">
        <v>444</v>
      </c>
      <c r="G39" t="s">
        <v>325</v>
      </c>
      <c r="H39" t="s">
        <v>43</v>
      </c>
      <c r="I39" t="s">
        <v>811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2</v>
      </c>
      <c r="AQ39" s="3">
        <v>0</v>
      </c>
      <c r="AR39" s="3">
        <v>-1</v>
      </c>
      <c r="AS39">
        <v>0</v>
      </c>
      <c r="AT39">
        <v>0</v>
      </c>
      <c r="AU39">
        <v>0</v>
      </c>
      <c r="AV39">
        <v>2</v>
      </c>
      <c r="AW39">
        <v>2</v>
      </c>
      <c r="AX39">
        <v>14</v>
      </c>
      <c r="AY39">
        <v>0</v>
      </c>
      <c r="AZ39">
        <v>19</v>
      </c>
      <c r="BA39">
        <v>0</v>
      </c>
      <c r="BB39">
        <v>2</v>
      </c>
      <c r="BC39">
        <v>0</v>
      </c>
      <c r="BD39">
        <v>0</v>
      </c>
      <c r="BF39">
        <v>0</v>
      </c>
      <c r="BG39">
        <v>0</v>
      </c>
    </row>
    <row r="40" spans="1:59" x14ac:dyDescent="0.2">
      <c r="A40" t="s">
        <v>445</v>
      </c>
      <c r="B40">
        <v>89.66</v>
      </c>
      <c r="C40">
        <v>5.0999999999999996</v>
      </c>
      <c r="D40">
        <v>2597640</v>
      </c>
      <c r="E40" t="s">
        <v>446</v>
      </c>
      <c r="F40" t="s">
        <v>447</v>
      </c>
      <c r="G40" t="s">
        <v>325</v>
      </c>
      <c r="H40" t="s">
        <v>43</v>
      </c>
      <c r="I40" t="s">
        <v>812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</v>
      </c>
      <c r="AQ40" s="3">
        <v>0</v>
      </c>
      <c r="AR40" s="3">
        <v>-1</v>
      </c>
      <c r="AS40">
        <v>0</v>
      </c>
      <c r="AT40">
        <v>1</v>
      </c>
      <c r="AU40">
        <v>0</v>
      </c>
      <c r="AV40">
        <v>1</v>
      </c>
      <c r="AW40">
        <v>1</v>
      </c>
      <c r="AX40">
        <v>21</v>
      </c>
      <c r="AY40">
        <v>0</v>
      </c>
      <c r="AZ40">
        <v>25</v>
      </c>
      <c r="BA40">
        <v>0</v>
      </c>
      <c r="BB40">
        <v>8</v>
      </c>
      <c r="BC40">
        <v>0</v>
      </c>
      <c r="BD40">
        <v>0</v>
      </c>
      <c r="BF40">
        <v>1</v>
      </c>
      <c r="BG40">
        <v>0</v>
      </c>
    </row>
    <row r="41" spans="1:59" x14ac:dyDescent="0.2">
      <c r="A41" t="s">
        <v>448</v>
      </c>
      <c r="B41">
        <v>85.65</v>
      </c>
      <c r="C41">
        <v>4.3499999999999996</v>
      </c>
      <c r="D41">
        <v>4644972</v>
      </c>
      <c r="E41" t="s">
        <v>449</v>
      </c>
      <c r="F41" t="s">
        <v>450</v>
      </c>
      <c r="G41" t="s">
        <v>413</v>
      </c>
      <c r="H41" t="s">
        <v>260</v>
      </c>
      <c r="I41" t="s">
        <v>813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</v>
      </c>
      <c r="AQ41" s="3">
        <v>0</v>
      </c>
      <c r="AR41" s="3">
        <v>0</v>
      </c>
      <c r="AS41">
        <v>1</v>
      </c>
      <c r="AT41">
        <v>0</v>
      </c>
      <c r="AU41">
        <v>0</v>
      </c>
      <c r="AV41">
        <v>3</v>
      </c>
      <c r="AW41">
        <v>3</v>
      </c>
      <c r="AX41">
        <v>38</v>
      </c>
      <c r="AY41">
        <v>0</v>
      </c>
      <c r="AZ41">
        <v>43</v>
      </c>
      <c r="BA41">
        <v>0</v>
      </c>
      <c r="BB41">
        <v>11</v>
      </c>
      <c r="BC41">
        <v>0</v>
      </c>
      <c r="BD41">
        <v>0</v>
      </c>
      <c r="BF41">
        <v>0</v>
      </c>
      <c r="BG41">
        <v>0</v>
      </c>
    </row>
    <row r="42" spans="1:59" x14ac:dyDescent="0.2">
      <c r="A42" t="s">
        <v>451</v>
      </c>
      <c r="B42">
        <v>96.09</v>
      </c>
      <c r="C42">
        <v>1.64</v>
      </c>
      <c r="D42">
        <v>3606796</v>
      </c>
      <c r="E42" t="s">
        <v>452</v>
      </c>
      <c r="F42" t="s">
        <v>453</v>
      </c>
      <c r="G42" t="s">
        <v>333</v>
      </c>
      <c r="H42" t="s">
        <v>332</v>
      </c>
      <c r="I42" t="s">
        <v>814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</v>
      </c>
      <c r="AQ42" s="3">
        <v>0</v>
      </c>
      <c r="AR42" s="3">
        <v>0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18</v>
      </c>
      <c r="AY42">
        <v>0</v>
      </c>
      <c r="AZ42">
        <v>22</v>
      </c>
      <c r="BA42">
        <v>0</v>
      </c>
      <c r="BB42">
        <v>8</v>
      </c>
      <c r="BC42">
        <v>10</v>
      </c>
      <c r="BD42">
        <v>11</v>
      </c>
      <c r="BF42">
        <v>0</v>
      </c>
      <c r="BG42">
        <v>0</v>
      </c>
    </row>
    <row r="43" spans="1:59" x14ac:dyDescent="0.2">
      <c r="A43" t="s">
        <v>454</v>
      </c>
      <c r="B43">
        <v>95.67</v>
      </c>
      <c r="C43">
        <v>9.24</v>
      </c>
      <c r="D43">
        <v>5179424</v>
      </c>
      <c r="E43" t="s">
        <v>455</v>
      </c>
      <c r="F43" t="s">
        <v>455</v>
      </c>
      <c r="G43" t="s">
        <v>434</v>
      </c>
      <c r="H43" t="s">
        <v>43</v>
      </c>
      <c r="I43" t="s">
        <v>815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</v>
      </c>
      <c r="AQ43" s="3">
        <v>0</v>
      </c>
      <c r="AR43" s="3">
        <v>0</v>
      </c>
      <c r="AS43">
        <v>2</v>
      </c>
      <c r="AT43">
        <v>0</v>
      </c>
      <c r="AU43">
        <v>0</v>
      </c>
      <c r="AV43">
        <v>2</v>
      </c>
      <c r="AW43">
        <v>2</v>
      </c>
      <c r="AX43">
        <v>34</v>
      </c>
      <c r="AY43">
        <v>1</v>
      </c>
      <c r="AZ43">
        <v>41</v>
      </c>
      <c r="BA43">
        <v>0</v>
      </c>
      <c r="BB43">
        <v>4</v>
      </c>
      <c r="BC43">
        <v>10</v>
      </c>
      <c r="BD43">
        <v>9</v>
      </c>
      <c r="BE43" s="3">
        <v>1</v>
      </c>
      <c r="BF43">
        <v>0</v>
      </c>
      <c r="BG43">
        <v>0</v>
      </c>
    </row>
    <row r="44" spans="1:59" x14ac:dyDescent="0.2">
      <c r="A44" t="s">
        <v>456</v>
      </c>
      <c r="B44">
        <v>74.430000000000007</v>
      </c>
      <c r="C44">
        <v>4.7300000000000004</v>
      </c>
      <c r="D44">
        <v>3155743</v>
      </c>
      <c r="E44" t="s">
        <v>457</v>
      </c>
      <c r="F44" t="s">
        <v>458</v>
      </c>
      <c r="G44" t="s">
        <v>459</v>
      </c>
      <c r="H44" t="s">
        <v>288</v>
      </c>
      <c r="I44" t="s">
        <v>816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 s="3">
        <v>0</v>
      </c>
      <c r="AR44" s="3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20</v>
      </c>
      <c r="AY44">
        <v>0</v>
      </c>
      <c r="AZ44">
        <v>22</v>
      </c>
      <c r="BA44">
        <v>0</v>
      </c>
      <c r="BB44">
        <v>6</v>
      </c>
      <c r="BC44">
        <v>0</v>
      </c>
      <c r="BD44">
        <v>0</v>
      </c>
      <c r="BF44">
        <v>0</v>
      </c>
      <c r="BG44">
        <v>0</v>
      </c>
    </row>
    <row r="45" spans="1:59" x14ac:dyDescent="0.2">
      <c r="A45" t="s">
        <v>460</v>
      </c>
      <c r="B45">
        <v>97.39</v>
      </c>
      <c r="C45">
        <v>0.54</v>
      </c>
      <c r="D45">
        <v>2975475</v>
      </c>
      <c r="E45" t="s">
        <v>461</v>
      </c>
      <c r="F45" t="s">
        <v>462</v>
      </c>
      <c r="G45" t="s">
        <v>333</v>
      </c>
      <c r="H45" t="s">
        <v>332</v>
      </c>
      <c r="I45" t="s">
        <v>817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 s="3">
        <v>0</v>
      </c>
      <c r="AR45" s="3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8</v>
      </c>
      <c r="AY45">
        <v>0</v>
      </c>
      <c r="AZ45">
        <v>9</v>
      </c>
      <c r="BA45">
        <v>0</v>
      </c>
      <c r="BB45">
        <v>7</v>
      </c>
      <c r="BC45">
        <v>0</v>
      </c>
      <c r="BD45">
        <v>0</v>
      </c>
      <c r="BF45">
        <v>0</v>
      </c>
      <c r="BG45">
        <v>0</v>
      </c>
    </row>
    <row r="46" spans="1:59" x14ac:dyDescent="0.2">
      <c r="A46" t="s">
        <v>463</v>
      </c>
      <c r="B46">
        <v>71.510000000000005</v>
      </c>
      <c r="C46">
        <v>3.41</v>
      </c>
      <c r="D46">
        <v>2839504</v>
      </c>
      <c r="E46" t="s">
        <v>464</v>
      </c>
      <c r="F46" t="s">
        <v>465</v>
      </c>
      <c r="G46" t="s">
        <v>325</v>
      </c>
      <c r="H46" t="s">
        <v>40</v>
      </c>
      <c r="I46" t="s">
        <v>818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1</v>
      </c>
      <c r="AA46">
        <v>0</v>
      </c>
      <c r="AB46">
        <v>2</v>
      </c>
      <c r="AC46">
        <v>0</v>
      </c>
      <c r="AD46">
        <v>2</v>
      </c>
      <c r="AE46">
        <v>3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1</v>
      </c>
      <c r="AQ46" s="3">
        <v>1</v>
      </c>
      <c r="AR46" s="3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24</v>
      </c>
      <c r="AY46">
        <v>0</v>
      </c>
      <c r="AZ46">
        <v>30</v>
      </c>
      <c r="BA46">
        <v>0</v>
      </c>
      <c r="BB46">
        <v>11</v>
      </c>
      <c r="BC46">
        <v>4</v>
      </c>
      <c r="BD46">
        <v>4</v>
      </c>
      <c r="BF46">
        <v>1</v>
      </c>
      <c r="BG46">
        <v>1</v>
      </c>
    </row>
    <row r="47" spans="1:59" x14ac:dyDescent="0.2">
      <c r="A47" t="s">
        <v>466</v>
      </c>
      <c r="B47">
        <v>93.55</v>
      </c>
      <c r="C47">
        <v>2.74</v>
      </c>
      <c r="D47">
        <v>5241278</v>
      </c>
      <c r="E47" t="s">
        <v>467</v>
      </c>
      <c r="F47" t="s">
        <v>468</v>
      </c>
      <c r="G47" t="s">
        <v>413</v>
      </c>
      <c r="H47" t="s">
        <v>260</v>
      </c>
      <c r="I47" t="s">
        <v>819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6</v>
      </c>
      <c r="AQ47" s="3">
        <v>0</v>
      </c>
      <c r="AR47" s="3">
        <v>0</v>
      </c>
      <c r="AS47">
        <v>2</v>
      </c>
      <c r="AT47">
        <v>0</v>
      </c>
      <c r="AU47">
        <v>0</v>
      </c>
      <c r="AV47">
        <v>4</v>
      </c>
      <c r="AW47">
        <v>4</v>
      </c>
      <c r="AX47">
        <v>60</v>
      </c>
      <c r="AY47">
        <v>0</v>
      </c>
      <c r="AZ47">
        <v>71</v>
      </c>
      <c r="BA47">
        <v>0</v>
      </c>
      <c r="BB47">
        <v>8</v>
      </c>
      <c r="BC47">
        <v>21</v>
      </c>
      <c r="BD47">
        <v>18</v>
      </c>
      <c r="BF47">
        <v>0</v>
      </c>
      <c r="BG47">
        <v>0</v>
      </c>
    </row>
    <row r="48" spans="1:59" x14ac:dyDescent="0.2">
      <c r="A48" t="s">
        <v>469</v>
      </c>
      <c r="B48">
        <v>95.77</v>
      </c>
      <c r="C48">
        <v>0.72</v>
      </c>
      <c r="D48">
        <v>3163773</v>
      </c>
      <c r="E48" t="s">
        <v>470</v>
      </c>
      <c r="F48" t="s">
        <v>471</v>
      </c>
      <c r="G48" t="s">
        <v>403</v>
      </c>
      <c r="H48" t="s">
        <v>472</v>
      </c>
      <c r="I48" t="s">
        <v>820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</v>
      </c>
      <c r="W48">
        <v>1</v>
      </c>
      <c r="X48">
        <v>1</v>
      </c>
      <c r="Y48">
        <v>2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</v>
      </c>
      <c r="AQ48" s="3">
        <v>1</v>
      </c>
      <c r="AR48" s="3">
        <v>1</v>
      </c>
      <c r="AS48">
        <v>0</v>
      </c>
      <c r="AT48">
        <v>0</v>
      </c>
      <c r="AU48">
        <v>0</v>
      </c>
      <c r="AV48">
        <v>3</v>
      </c>
      <c r="AW48">
        <v>3</v>
      </c>
      <c r="AX48">
        <v>21</v>
      </c>
      <c r="AY48">
        <v>0</v>
      </c>
      <c r="AZ48">
        <v>26</v>
      </c>
      <c r="BA48">
        <v>0</v>
      </c>
      <c r="BB48">
        <v>10</v>
      </c>
      <c r="BC48">
        <v>5</v>
      </c>
      <c r="BD48">
        <v>4</v>
      </c>
      <c r="BF48">
        <v>0</v>
      </c>
      <c r="BG48">
        <v>0</v>
      </c>
    </row>
    <row r="49" spans="1:59" x14ac:dyDescent="0.2">
      <c r="A49" t="s">
        <v>473</v>
      </c>
      <c r="B49">
        <v>95.38</v>
      </c>
      <c r="C49">
        <v>2.52</v>
      </c>
      <c r="D49">
        <v>6579438</v>
      </c>
      <c r="E49" t="s">
        <v>474</v>
      </c>
      <c r="F49" t="s">
        <v>475</v>
      </c>
      <c r="G49" t="s">
        <v>387</v>
      </c>
      <c r="H49" t="s">
        <v>43</v>
      </c>
      <c r="I49" t="s">
        <v>821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2</v>
      </c>
      <c r="AQ49" s="3">
        <v>0</v>
      </c>
      <c r="AR49" s="3">
        <v>0</v>
      </c>
      <c r="AS49">
        <v>0</v>
      </c>
      <c r="AT49">
        <v>1</v>
      </c>
      <c r="AU49">
        <v>0</v>
      </c>
      <c r="AV49">
        <v>5</v>
      </c>
      <c r="AW49">
        <v>5</v>
      </c>
      <c r="AX49">
        <v>39</v>
      </c>
      <c r="AY49">
        <v>0</v>
      </c>
      <c r="AZ49">
        <v>43</v>
      </c>
      <c r="BA49">
        <v>0</v>
      </c>
      <c r="BB49">
        <v>12</v>
      </c>
      <c r="BC49">
        <v>9</v>
      </c>
      <c r="BD49">
        <v>8</v>
      </c>
      <c r="BF49">
        <v>1</v>
      </c>
      <c r="BG49">
        <v>0</v>
      </c>
    </row>
    <row r="50" spans="1:59" x14ac:dyDescent="0.2">
      <c r="A50" t="s">
        <v>476</v>
      </c>
      <c r="B50">
        <v>82.07</v>
      </c>
      <c r="C50">
        <v>4.16</v>
      </c>
      <c r="D50">
        <v>2508913</v>
      </c>
      <c r="E50" t="s">
        <v>477</v>
      </c>
      <c r="F50" t="s">
        <v>478</v>
      </c>
      <c r="G50" t="s">
        <v>333</v>
      </c>
      <c r="H50" t="s">
        <v>332</v>
      </c>
      <c r="I50" t="s">
        <v>822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</v>
      </c>
      <c r="AQ50" s="3">
        <v>0</v>
      </c>
      <c r="AR50" s="3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7</v>
      </c>
      <c r="AY50">
        <v>0</v>
      </c>
      <c r="AZ50">
        <v>16</v>
      </c>
      <c r="BA50">
        <v>0</v>
      </c>
      <c r="BB50">
        <v>4</v>
      </c>
      <c r="BC50">
        <v>0</v>
      </c>
      <c r="BD50">
        <v>0</v>
      </c>
      <c r="BF50">
        <v>0</v>
      </c>
      <c r="BG50">
        <v>0</v>
      </c>
    </row>
    <row r="51" spans="1:59" x14ac:dyDescent="0.2">
      <c r="A51" t="s">
        <v>479</v>
      </c>
      <c r="B51">
        <v>73.03</v>
      </c>
      <c r="C51">
        <v>2.2599999999999998</v>
      </c>
      <c r="D51">
        <v>2865854</v>
      </c>
      <c r="E51" t="s">
        <v>480</v>
      </c>
      <c r="F51" t="s">
        <v>481</v>
      </c>
      <c r="G51" t="s">
        <v>325</v>
      </c>
      <c r="H51" t="s">
        <v>33</v>
      </c>
      <c r="I51" t="s">
        <v>823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2</v>
      </c>
      <c r="Z51">
        <v>1</v>
      </c>
      <c r="AA51">
        <v>0</v>
      </c>
      <c r="AB51">
        <v>1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</v>
      </c>
      <c r="AQ51" s="3">
        <v>1</v>
      </c>
      <c r="AR51" s="3">
        <v>1</v>
      </c>
      <c r="AS51">
        <v>1</v>
      </c>
      <c r="AT51">
        <v>3</v>
      </c>
      <c r="AU51">
        <v>0</v>
      </c>
      <c r="AV51">
        <v>6</v>
      </c>
      <c r="AW51">
        <v>6</v>
      </c>
      <c r="AX51">
        <v>41</v>
      </c>
      <c r="AY51">
        <v>1</v>
      </c>
      <c r="AZ51">
        <v>47</v>
      </c>
      <c r="BA51">
        <v>1</v>
      </c>
      <c r="BB51">
        <v>15</v>
      </c>
      <c r="BC51">
        <v>9</v>
      </c>
      <c r="BD51">
        <v>9</v>
      </c>
      <c r="BE51" s="3">
        <v>1</v>
      </c>
      <c r="BF51">
        <v>1</v>
      </c>
      <c r="BG51">
        <v>0</v>
      </c>
    </row>
    <row r="52" spans="1:59" x14ac:dyDescent="0.2">
      <c r="A52" t="s">
        <v>482</v>
      </c>
      <c r="B52">
        <v>90.47</v>
      </c>
      <c r="C52">
        <v>3.47</v>
      </c>
      <c r="D52">
        <v>4190382</v>
      </c>
      <c r="E52" t="s">
        <v>483</v>
      </c>
      <c r="F52" t="s">
        <v>484</v>
      </c>
      <c r="G52" t="s">
        <v>325</v>
      </c>
      <c r="H52" t="s">
        <v>41</v>
      </c>
      <c r="I52" t="s">
        <v>824</v>
      </c>
      <c r="J52">
        <v>1</v>
      </c>
      <c r="K52">
        <v>0</v>
      </c>
      <c r="L52">
        <v>2</v>
      </c>
      <c r="M52">
        <v>2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11</v>
      </c>
      <c r="AA52">
        <v>0</v>
      </c>
      <c r="AB52">
        <v>1</v>
      </c>
      <c r="AC52">
        <v>1</v>
      </c>
      <c r="AD52">
        <v>3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3</v>
      </c>
      <c r="AQ52" s="3">
        <v>1</v>
      </c>
      <c r="AR52" s="3">
        <v>1</v>
      </c>
      <c r="AS52">
        <v>0</v>
      </c>
      <c r="AT52">
        <v>2</v>
      </c>
      <c r="AU52">
        <v>1</v>
      </c>
      <c r="AV52">
        <v>16</v>
      </c>
      <c r="AW52">
        <v>16</v>
      </c>
      <c r="AX52">
        <v>47</v>
      </c>
      <c r="AY52">
        <v>0</v>
      </c>
      <c r="AZ52">
        <v>69</v>
      </c>
      <c r="BA52">
        <v>0</v>
      </c>
      <c r="BB52">
        <v>7</v>
      </c>
      <c r="BC52">
        <v>10</v>
      </c>
      <c r="BD52">
        <v>8</v>
      </c>
      <c r="BF52">
        <v>0</v>
      </c>
      <c r="BG52">
        <v>0</v>
      </c>
    </row>
    <row r="53" spans="1:59" x14ac:dyDescent="0.2">
      <c r="A53" t="s">
        <v>485</v>
      </c>
      <c r="B53">
        <v>94.87</v>
      </c>
      <c r="C53">
        <v>4.7</v>
      </c>
      <c r="D53">
        <v>3582033</v>
      </c>
      <c r="E53" t="s">
        <v>486</v>
      </c>
      <c r="F53" t="s">
        <v>432</v>
      </c>
      <c r="G53" t="s">
        <v>403</v>
      </c>
      <c r="H53" t="s">
        <v>43</v>
      </c>
      <c r="I53" t="s">
        <v>825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</v>
      </c>
      <c r="AQ53" s="3">
        <v>0</v>
      </c>
      <c r="AR53" s="3">
        <v>0</v>
      </c>
      <c r="AS53">
        <v>2</v>
      </c>
      <c r="AT53">
        <v>0</v>
      </c>
      <c r="AU53">
        <v>0</v>
      </c>
      <c r="AV53">
        <v>4</v>
      </c>
      <c r="AW53">
        <v>4</v>
      </c>
      <c r="AX53">
        <v>22</v>
      </c>
      <c r="AY53">
        <v>1</v>
      </c>
      <c r="AZ53">
        <v>27</v>
      </c>
      <c r="BA53">
        <v>0</v>
      </c>
      <c r="BB53">
        <v>8</v>
      </c>
      <c r="BC53">
        <v>16</v>
      </c>
      <c r="BD53">
        <v>14</v>
      </c>
      <c r="BE53" s="3">
        <v>1</v>
      </c>
      <c r="BF53">
        <v>0</v>
      </c>
      <c r="BG53">
        <v>0</v>
      </c>
    </row>
    <row r="54" spans="1:59" x14ac:dyDescent="0.2">
      <c r="A54" t="s">
        <v>487</v>
      </c>
      <c r="B54">
        <v>94.04</v>
      </c>
      <c r="C54">
        <v>2.92</v>
      </c>
      <c r="D54">
        <v>3282996</v>
      </c>
      <c r="E54" t="s">
        <v>488</v>
      </c>
      <c r="F54" t="s">
        <v>489</v>
      </c>
      <c r="G54" t="s">
        <v>325</v>
      </c>
      <c r="H54" t="s">
        <v>33</v>
      </c>
      <c r="I54" t="s">
        <v>826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2</v>
      </c>
      <c r="Z54">
        <v>1</v>
      </c>
      <c r="AA54">
        <v>0</v>
      </c>
      <c r="AB54">
        <v>2</v>
      </c>
      <c r="AC54">
        <v>1</v>
      </c>
      <c r="AD54">
        <v>2</v>
      </c>
      <c r="AE54">
        <v>3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</v>
      </c>
      <c r="AQ54" s="3">
        <v>0</v>
      </c>
      <c r="AR54" s="3">
        <v>1</v>
      </c>
      <c r="AS54">
        <v>1</v>
      </c>
      <c r="AT54">
        <v>2</v>
      </c>
      <c r="AU54">
        <v>0</v>
      </c>
      <c r="AV54">
        <v>3</v>
      </c>
      <c r="AW54">
        <v>3</v>
      </c>
      <c r="AX54">
        <v>30</v>
      </c>
      <c r="AY54">
        <v>1</v>
      </c>
      <c r="AZ54">
        <v>36</v>
      </c>
      <c r="BA54">
        <v>1</v>
      </c>
      <c r="BB54">
        <v>20</v>
      </c>
      <c r="BC54">
        <v>7</v>
      </c>
      <c r="BD54">
        <v>7</v>
      </c>
      <c r="BE54" s="3">
        <v>1</v>
      </c>
      <c r="BF54">
        <v>1</v>
      </c>
      <c r="BG54">
        <v>0</v>
      </c>
    </row>
    <row r="55" spans="1:59" x14ac:dyDescent="0.2">
      <c r="A55" t="s">
        <v>490</v>
      </c>
      <c r="B55">
        <v>71.08</v>
      </c>
      <c r="C55">
        <v>1.71</v>
      </c>
      <c r="D55">
        <v>2730353</v>
      </c>
      <c r="E55" t="s">
        <v>491</v>
      </c>
      <c r="F55" t="s">
        <v>492</v>
      </c>
      <c r="G55" t="s">
        <v>403</v>
      </c>
      <c r="H55" t="s">
        <v>43</v>
      </c>
      <c r="I55" t="s">
        <v>827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5</v>
      </c>
      <c r="AQ55" s="3">
        <v>0</v>
      </c>
      <c r="AR55" s="3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14</v>
      </c>
      <c r="AY55">
        <v>1</v>
      </c>
      <c r="AZ55">
        <v>17</v>
      </c>
      <c r="BA55">
        <v>0</v>
      </c>
      <c r="BB55">
        <v>7</v>
      </c>
      <c r="BC55">
        <v>7</v>
      </c>
      <c r="BD55">
        <v>7</v>
      </c>
      <c r="BE55" s="3">
        <v>1</v>
      </c>
      <c r="BF55">
        <v>0</v>
      </c>
      <c r="BG55">
        <v>0</v>
      </c>
    </row>
    <row r="56" spans="1:59" x14ac:dyDescent="0.2">
      <c r="A56" t="s">
        <v>493</v>
      </c>
      <c r="B56">
        <v>86.81</v>
      </c>
      <c r="C56">
        <v>3.85</v>
      </c>
      <c r="D56">
        <v>2610804</v>
      </c>
      <c r="E56" t="s">
        <v>494</v>
      </c>
      <c r="F56" t="s">
        <v>495</v>
      </c>
      <c r="G56" t="s">
        <v>496</v>
      </c>
      <c r="H56" t="s">
        <v>42</v>
      </c>
      <c r="I56" t="s">
        <v>828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 s="3">
        <v>0</v>
      </c>
      <c r="AR56" s="3">
        <v>0</v>
      </c>
      <c r="AS56">
        <v>1</v>
      </c>
      <c r="AT56">
        <v>0</v>
      </c>
      <c r="AU56">
        <v>0</v>
      </c>
      <c r="AV56">
        <v>2</v>
      </c>
      <c r="AW56">
        <v>3</v>
      </c>
      <c r="AX56">
        <v>17</v>
      </c>
      <c r="AY56">
        <v>2</v>
      </c>
      <c r="AZ56">
        <v>20</v>
      </c>
      <c r="BA56">
        <v>0</v>
      </c>
      <c r="BB56">
        <v>4</v>
      </c>
      <c r="BC56">
        <v>1</v>
      </c>
      <c r="BD56">
        <v>1</v>
      </c>
      <c r="BE56" s="3">
        <v>1</v>
      </c>
      <c r="BF56">
        <v>0</v>
      </c>
      <c r="BG56">
        <v>0</v>
      </c>
    </row>
    <row r="57" spans="1:59" x14ac:dyDescent="0.2">
      <c r="A57" t="s">
        <v>497</v>
      </c>
      <c r="B57">
        <v>80.86</v>
      </c>
      <c r="C57">
        <v>3.78</v>
      </c>
      <c r="D57">
        <v>3592062</v>
      </c>
      <c r="E57" t="s">
        <v>498</v>
      </c>
      <c r="F57" t="s">
        <v>499</v>
      </c>
      <c r="G57" t="s">
        <v>325</v>
      </c>
      <c r="H57" t="s">
        <v>33</v>
      </c>
      <c r="I57" t="s">
        <v>829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2</v>
      </c>
      <c r="W57">
        <v>1</v>
      </c>
      <c r="X57">
        <v>0</v>
      </c>
      <c r="Y57">
        <v>3</v>
      </c>
      <c r="Z57">
        <v>3</v>
      </c>
      <c r="AA57">
        <v>0</v>
      </c>
      <c r="AB57">
        <v>1</v>
      </c>
      <c r="AC57">
        <v>1</v>
      </c>
      <c r="AD57">
        <v>3</v>
      </c>
      <c r="AE57">
        <v>3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</v>
      </c>
      <c r="AQ57" s="3">
        <v>1</v>
      </c>
      <c r="AR57" s="3">
        <v>1</v>
      </c>
      <c r="AS57">
        <v>0</v>
      </c>
      <c r="AT57">
        <v>0</v>
      </c>
      <c r="AU57">
        <v>0</v>
      </c>
      <c r="AV57">
        <v>10</v>
      </c>
      <c r="AW57">
        <v>10</v>
      </c>
      <c r="AX57">
        <v>43</v>
      </c>
      <c r="AY57">
        <v>0</v>
      </c>
      <c r="AZ57">
        <v>54</v>
      </c>
      <c r="BA57">
        <v>1</v>
      </c>
      <c r="BB57">
        <v>20</v>
      </c>
      <c r="BC57">
        <v>20</v>
      </c>
      <c r="BD57">
        <v>17</v>
      </c>
      <c r="BF57">
        <v>1</v>
      </c>
      <c r="BG57">
        <v>0</v>
      </c>
    </row>
    <row r="58" spans="1:59" x14ac:dyDescent="0.2">
      <c r="A58" t="s">
        <v>500</v>
      </c>
      <c r="B58">
        <v>95.73</v>
      </c>
      <c r="C58">
        <v>2.56</v>
      </c>
      <c r="D58">
        <v>4362284</v>
      </c>
      <c r="E58" t="s">
        <v>501</v>
      </c>
      <c r="F58" t="s">
        <v>502</v>
      </c>
      <c r="G58" t="s">
        <v>434</v>
      </c>
      <c r="H58" t="s">
        <v>503</v>
      </c>
      <c r="I58" t="s">
        <v>830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6</v>
      </c>
      <c r="AQ58" s="3">
        <v>0</v>
      </c>
      <c r="AR58" s="3">
        <v>0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26</v>
      </c>
      <c r="AY58">
        <v>3</v>
      </c>
      <c r="AZ58">
        <v>32</v>
      </c>
      <c r="BA58">
        <v>0</v>
      </c>
      <c r="BB58">
        <v>13</v>
      </c>
      <c r="BC58">
        <v>16</v>
      </c>
      <c r="BD58">
        <v>15</v>
      </c>
      <c r="BE58" s="3">
        <v>1</v>
      </c>
      <c r="BF58">
        <v>0</v>
      </c>
      <c r="BG58">
        <v>0</v>
      </c>
    </row>
    <row r="59" spans="1:59" x14ac:dyDescent="0.2">
      <c r="A59" t="s">
        <v>504</v>
      </c>
      <c r="B59">
        <v>87.7</v>
      </c>
      <c r="C59">
        <v>3.97</v>
      </c>
      <c r="D59">
        <v>1936803</v>
      </c>
      <c r="E59" t="s">
        <v>505</v>
      </c>
      <c r="F59" t="s">
        <v>506</v>
      </c>
      <c r="G59" t="s">
        <v>403</v>
      </c>
      <c r="H59" t="s">
        <v>285</v>
      </c>
      <c r="I59" t="s">
        <v>831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 s="3">
        <v>0</v>
      </c>
      <c r="AR59" s="3">
        <v>0</v>
      </c>
      <c r="AS59">
        <v>0</v>
      </c>
      <c r="AT59">
        <v>0</v>
      </c>
      <c r="AU59">
        <v>0</v>
      </c>
      <c r="AV59">
        <v>4</v>
      </c>
      <c r="AW59">
        <v>4</v>
      </c>
      <c r="AX59">
        <v>25</v>
      </c>
      <c r="AY59">
        <v>0</v>
      </c>
      <c r="AZ59">
        <v>31</v>
      </c>
      <c r="BA59">
        <v>0</v>
      </c>
      <c r="BB59">
        <v>10</v>
      </c>
      <c r="BC59">
        <v>0</v>
      </c>
      <c r="BD59">
        <v>0</v>
      </c>
      <c r="BF59">
        <v>0</v>
      </c>
      <c r="BG59">
        <v>0</v>
      </c>
    </row>
    <row r="60" spans="1:59" x14ac:dyDescent="0.2">
      <c r="A60" t="s">
        <v>507</v>
      </c>
      <c r="B60">
        <v>90.64</v>
      </c>
      <c r="C60">
        <v>1.8</v>
      </c>
      <c r="D60">
        <v>3759346</v>
      </c>
      <c r="E60" t="s">
        <v>508</v>
      </c>
      <c r="F60" t="s">
        <v>509</v>
      </c>
      <c r="G60" t="s">
        <v>325</v>
      </c>
      <c r="H60" t="s">
        <v>33</v>
      </c>
      <c r="I60" t="s">
        <v>832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</v>
      </c>
      <c r="X60">
        <v>2</v>
      </c>
      <c r="Y60">
        <v>2</v>
      </c>
      <c r="Z60">
        <v>2</v>
      </c>
      <c r="AA60">
        <v>0</v>
      </c>
      <c r="AB60">
        <v>1</v>
      </c>
      <c r="AC60">
        <v>1</v>
      </c>
      <c r="AD60">
        <v>1</v>
      </c>
      <c r="AE60">
        <v>2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 s="3">
        <v>1</v>
      </c>
      <c r="AR60" s="3">
        <v>1</v>
      </c>
      <c r="AS60">
        <v>1</v>
      </c>
      <c r="AT60">
        <v>1</v>
      </c>
      <c r="AU60">
        <v>1</v>
      </c>
      <c r="AV60">
        <v>7</v>
      </c>
      <c r="AW60">
        <v>8</v>
      </c>
      <c r="AX60">
        <v>33</v>
      </c>
      <c r="AY60">
        <v>1</v>
      </c>
      <c r="AZ60">
        <v>38</v>
      </c>
      <c r="BA60">
        <v>1</v>
      </c>
      <c r="BB60">
        <v>18</v>
      </c>
      <c r="BC60">
        <v>9</v>
      </c>
      <c r="BD60">
        <v>9</v>
      </c>
      <c r="BE60" s="3">
        <v>1</v>
      </c>
      <c r="BF60">
        <v>1</v>
      </c>
      <c r="BG60">
        <v>0</v>
      </c>
    </row>
    <row r="61" spans="1:59" x14ac:dyDescent="0.2">
      <c r="A61" t="s">
        <v>510</v>
      </c>
      <c r="B61">
        <v>88.32</v>
      </c>
      <c r="C61">
        <v>3.42</v>
      </c>
      <c r="D61">
        <v>2647078</v>
      </c>
      <c r="E61" t="s">
        <v>511</v>
      </c>
      <c r="F61" t="s">
        <v>512</v>
      </c>
      <c r="G61" t="s">
        <v>434</v>
      </c>
      <c r="H61" t="s">
        <v>433</v>
      </c>
      <c r="I61" t="s">
        <v>833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</v>
      </c>
      <c r="AQ61" s="3">
        <v>0</v>
      </c>
      <c r="AR61" s="3">
        <v>0</v>
      </c>
      <c r="AS61">
        <v>0</v>
      </c>
      <c r="AT61">
        <v>0</v>
      </c>
      <c r="AU61">
        <v>0</v>
      </c>
      <c r="AV61">
        <v>1</v>
      </c>
      <c r="AW61">
        <v>1</v>
      </c>
      <c r="AX61">
        <v>6</v>
      </c>
      <c r="AY61">
        <v>1</v>
      </c>
      <c r="AZ61">
        <v>9</v>
      </c>
      <c r="BA61">
        <v>0</v>
      </c>
      <c r="BB61">
        <v>4</v>
      </c>
      <c r="BC61">
        <v>2</v>
      </c>
      <c r="BD61">
        <v>2</v>
      </c>
      <c r="BE61" s="3">
        <v>1</v>
      </c>
      <c r="BF61">
        <v>0</v>
      </c>
      <c r="BG61">
        <v>0</v>
      </c>
    </row>
    <row r="62" spans="1:59" x14ac:dyDescent="0.2">
      <c r="A62" t="s">
        <v>513</v>
      </c>
      <c r="B62">
        <v>100</v>
      </c>
      <c r="C62">
        <v>5.17</v>
      </c>
      <c r="D62">
        <v>2594914</v>
      </c>
      <c r="E62" t="s">
        <v>514</v>
      </c>
      <c r="F62" t="s">
        <v>515</v>
      </c>
      <c r="G62" t="s">
        <v>377</v>
      </c>
      <c r="H62" t="s">
        <v>376</v>
      </c>
      <c r="I62" t="s">
        <v>834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3</v>
      </c>
      <c r="AQ62" s="3">
        <v>-1</v>
      </c>
      <c r="AR62" s="3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11</v>
      </c>
      <c r="AY62">
        <v>0</v>
      </c>
      <c r="AZ62">
        <v>17</v>
      </c>
      <c r="BA62">
        <v>0</v>
      </c>
      <c r="BB62">
        <v>7</v>
      </c>
      <c r="BC62">
        <v>2</v>
      </c>
      <c r="BD62">
        <v>3</v>
      </c>
      <c r="BF62">
        <v>0</v>
      </c>
      <c r="BG62">
        <v>0</v>
      </c>
    </row>
    <row r="63" spans="1:59" x14ac:dyDescent="0.2">
      <c r="A63" t="s">
        <v>516</v>
      </c>
      <c r="B63">
        <v>94.51</v>
      </c>
      <c r="C63">
        <v>6.89</v>
      </c>
      <c r="D63">
        <v>3129608</v>
      </c>
      <c r="E63" t="s">
        <v>517</v>
      </c>
      <c r="F63" t="s">
        <v>518</v>
      </c>
      <c r="G63" t="s">
        <v>496</v>
      </c>
      <c r="H63" t="s">
        <v>519</v>
      </c>
      <c r="I63" t="s">
        <v>835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5</v>
      </c>
      <c r="AQ63" s="3">
        <v>0</v>
      </c>
      <c r="AR63" s="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20</v>
      </c>
      <c r="AY63">
        <v>1</v>
      </c>
      <c r="AZ63">
        <v>24</v>
      </c>
      <c r="BA63">
        <v>2</v>
      </c>
      <c r="BB63">
        <v>5</v>
      </c>
      <c r="BC63">
        <v>20</v>
      </c>
      <c r="BD63">
        <v>17</v>
      </c>
      <c r="BE63" s="3">
        <v>1</v>
      </c>
      <c r="BF63">
        <v>0</v>
      </c>
      <c r="BG63">
        <v>0</v>
      </c>
    </row>
    <row r="64" spans="1:59" x14ac:dyDescent="0.2">
      <c r="A64" t="s">
        <v>520</v>
      </c>
      <c r="B64">
        <v>71.06</v>
      </c>
      <c r="C64">
        <v>6.47</v>
      </c>
      <c r="D64">
        <v>2552001</v>
      </c>
      <c r="E64" t="s">
        <v>521</v>
      </c>
      <c r="F64" t="s">
        <v>522</v>
      </c>
      <c r="G64" t="s">
        <v>413</v>
      </c>
      <c r="H64" t="s">
        <v>34</v>
      </c>
      <c r="I64" t="s">
        <v>836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</v>
      </c>
      <c r="AQ64" s="3">
        <v>0</v>
      </c>
      <c r="AR64" s="3">
        <v>0</v>
      </c>
      <c r="AS64">
        <v>0</v>
      </c>
      <c r="AT64">
        <v>0</v>
      </c>
      <c r="AU64">
        <v>0</v>
      </c>
      <c r="AV64">
        <v>1</v>
      </c>
      <c r="AW64">
        <v>1</v>
      </c>
      <c r="AX64">
        <v>15</v>
      </c>
      <c r="AY64">
        <v>0</v>
      </c>
      <c r="AZ64">
        <v>15</v>
      </c>
      <c r="BA64">
        <v>0</v>
      </c>
      <c r="BB64">
        <v>1</v>
      </c>
      <c r="BC64">
        <v>1</v>
      </c>
      <c r="BD64">
        <v>0</v>
      </c>
      <c r="BF64">
        <v>0</v>
      </c>
      <c r="BG64">
        <v>0</v>
      </c>
    </row>
    <row r="65" spans="1:59" x14ac:dyDescent="0.2">
      <c r="A65" t="s">
        <v>523</v>
      </c>
      <c r="B65">
        <v>77.180000000000007</v>
      </c>
      <c r="C65">
        <v>1.79</v>
      </c>
      <c r="D65">
        <v>2397494</v>
      </c>
      <c r="E65" t="s">
        <v>524</v>
      </c>
      <c r="F65" t="s">
        <v>525</v>
      </c>
      <c r="G65" t="s">
        <v>325</v>
      </c>
      <c r="H65" t="s">
        <v>43</v>
      </c>
      <c r="I65" t="s">
        <v>837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s="3">
        <v>0</v>
      </c>
      <c r="AR65" s="3">
        <v>-1</v>
      </c>
      <c r="AS65">
        <v>0</v>
      </c>
      <c r="AT65">
        <v>0</v>
      </c>
      <c r="AU65">
        <v>0</v>
      </c>
      <c r="AV65">
        <v>2</v>
      </c>
      <c r="AW65">
        <v>3</v>
      </c>
      <c r="AX65">
        <v>9</v>
      </c>
      <c r="AY65">
        <v>0</v>
      </c>
      <c r="AZ65">
        <v>11</v>
      </c>
      <c r="BA65">
        <v>0</v>
      </c>
      <c r="BB65">
        <v>2</v>
      </c>
      <c r="BC65">
        <v>2</v>
      </c>
      <c r="BD65">
        <v>1</v>
      </c>
      <c r="BF65">
        <v>0</v>
      </c>
      <c r="BG65">
        <v>0</v>
      </c>
    </row>
    <row r="66" spans="1:59" x14ac:dyDescent="0.2">
      <c r="A66" t="s">
        <v>526</v>
      </c>
      <c r="B66">
        <v>71.47</v>
      </c>
      <c r="C66">
        <v>1.42</v>
      </c>
      <c r="D66">
        <v>1801130</v>
      </c>
      <c r="E66" t="s">
        <v>527</v>
      </c>
      <c r="F66" t="s">
        <v>528</v>
      </c>
      <c r="G66" t="s">
        <v>325</v>
      </c>
      <c r="H66" t="s">
        <v>41</v>
      </c>
      <c r="I66" t="s">
        <v>838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</v>
      </c>
      <c r="AQ66" s="3">
        <v>0</v>
      </c>
      <c r="AR66" s="3">
        <v>0</v>
      </c>
      <c r="AS66">
        <v>0</v>
      </c>
      <c r="AT66">
        <v>0</v>
      </c>
      <c r="AU66">
        <v>0</v>
      </c>
      <c r="AV66">
        <v>2</v>
      </c>
      <c r="AW66">
        <v>2</v>
      </c>
      <c r="AX66">
        <v>10</v>
      </c>
      <c r="AY66">
        <v>0</v>
      </c>
      <c r="AZ66">
        <v>17</v>
      </c>
      <c r="BA66">
        <v>0</v>
      </c>
      <c r="BB66">
        <v>1</v>
      </c>
      <c r="BC66">
        <v>0</v>
      </c>
      <c r="BD66">
        <v>0</v>
      </c>
      <c r="BF66">
        <v>0</v>
      </c>
      <c r="BG66">
        <v>0</v>
      </c>
    </row>
    <row r="67" spans="1:59" x14ac:dyDescent="0.2">
      <c r="A67" t="s">
        <v>529</v>
      </c>
      <c r="B67">
        <v>86.3</v>
      </c>
      <c r="C67">
        <v>3.73</v>
      </c>
      <c r="D67">
        <v>3029078</v>
      </c>
      <c r="E67" t="s">
        <v>530</v>
      </c>
      <c r="F67" t="s">
        <v>531</v>
      </c>
      <c r="G67" t="s">
        <v>325</v>
      </c>
      <c r="H67" t="s">
        <v>33</v>
      </c>
      <c r="I67" t="s">
        <v>839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3</v>
      </c>
      <c r="W67">
        <v>1</v>
      </c>
      <c r="X67">
        <v>1</v>
      </c>
      <c r="Y67">
        <v>1</v>
      </c>
      <c r="Z67">
        <v>3</v>
      </c>
      <c r="AA67">
        <v>0</v>
      </c>
      <c r="AB67">
        <v>1</v>
      </c>
      <c r="AC67">
        <v>1</v>
      </c>
      <c r="AD67">
        <v>3</v>
      </c>
      <c r="AE67">
        <v>2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2</v>
      </c>
      <c r="AQ67" s="3">
        <v>1</v>
      </c>
      <c r="AR67" s="3">
        <v>1</v>
      </c>
      <c r="AS67">
        <v>0</v>
      </c>
      <c r="AT67">
        <v>1</v>
      </c>
      <c r="AU67">
        <v>0</v>
      </c>
      <c r="AV67">
        <v>6</v>
      </c>
      <c r="AW67">
        <v>6</v>
      </c>
      <c r="AX67">
        <v>34</v>
      </c>
      <c r="AY67">
        <v>0</v>
      </c>
      <c r="AZ67">
        <v>48</v>
      </c>
      <c r="BA67">
        <v>0</v>
      </c>
      <c r="BB67">
        <v>14</v>
      </c>
      <c r="BC67">
        <v>17</v>
      </c>
      <c r="BD67">
        <v>13</v>
      </c>
      <c r="BF67">
        <v>1</v>
      </c>
      <c r="BG67">
        <v>0</v>
      </c>
    </row>
    <row r="68" spans="1:59" x14ac:dyDescent="0.2">
      <c r="A68" t="s">
        <v>532</v>
      </c>
      <c r="B68">
        <v>84.48</v>
      </c>
      <c r="C68">
        <v>0</v>
      </c>
      <c r="D68">
        <v>3467625</v>
      </c>
      <c r="E68" t="s">
        <v>382</v>
      </c>
      <c r="F68" t="s">
        <v>444</v>
      </c>
      <c r="G68" t="s">
        <v>325</v>
      </c>
      <c r="H68" t="s">
        <v>32</v>
      </c>
      <c r="I68" t="s">
        <v>840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1</v>
      </c>
      <c r="Z68">
        <v>1</v>
      </c>
      <c r="AA68">
        <v>0</v>
      </c>
      <c r="AB68">
        <v>1</v>
      </c>
      <c r="AC68">
        <v>0</v>
      </c>
      <c r="AD68">
        <v>1</v>
      </c>
      <c r="AE68">
        <v>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4</v>
      </c>
      <c r="AQ68" s="3">
        <v>0</v>
      </c>
      <c r="AR68" s="3">
        <v>-1</v>
      </c>
      <c r="AS68">
        <v>1</v>
      </c>
      <c r="AT68">
        <v>0</v>
      </c>
      <c r="AU68">
        <v>0</v>
      </c>
      <c r="AV68">
        <v>2</v>
      </c>
      <c r="AW68">
        <v>1</v>
      </c>
      <c r="AX68">
        <v>39</v>
      </c>
      <c r="AY68">
        <v>0</v>
      </c>
      <c r="AZ68">
        <v>39</v>
      </c>
      <c r="BA68">
        <v>0</v>
      </c>
      <c r="BB68">
        <v>10</v>
      </c>
      <c r="BC68">
        <v>11</v>
      </c>
      <c r="BD68">
        <v>10</v>
      </c>
      <c r="BF68">
        <v>0</v>
      </c>
      <c r="BG68">
        <v>0</v>
      </c>
    </row>
    <row r="69" spans="1:59" x14ac:dyDescent="0.2">
      <c r="A69" t="s">
        <v>533</v>
      </c>
      <c r="B69">
        <v>90.97</v>
      </c>
      <c r="C69">
        <v>1.88</v>
      </c>
      <c r="D69">
        <v>2147145</v>
      </c>
      <c r="E69" t="s">
        <v>534</v>
      </c>
      <c r="F69" t="s">
        <v>535</v>
      </c>
      <c r="G69" t="s">
        <v>377</v>
      </c>
      <c r="H69" t="s">
        <v>376</v>
      </c>
      <c r="I69" t="s">
        <v>841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 s="3">
        <v>-1</v>
      </c>
      <c r="AR69" s="3">
        <v>0</v>
      </c>
      <c r="AS69">
        <v>0</v>
      </c>
      <c r="AT69">
        <v>0</v>
      </c>
      <c r="AU69">
        <v>0</v>
      </c>
      <c r="AV69">
        <v>2</v>
      </c>
      <c r="AW69">
        <v>2</v>
      </c>
      <c r="AX69">
        <v>17</v>
      </c>
      <c r="AY69">
        <v>0</v>
      </c>
      <c r="AZ69">
        <v>18</v>
      </c>
      <c r="BA69">
        <v>0</v>
      </c>
      <c r="BB69">
        <v>5</v>
      </c>
      <c r="BC69">
        <v>2</v>
      </c>
      <c r="BD69">
        <v>2</v>
      </c>
      <c r="BF69">
        <v>0</v>
      </c>
      <c r="BG69">
        <v>0</v>
      </c>
    </row>
    <row r="70" spans="1:59" x14ac:dyDescent="0.2">
      <c r="A70" t="s">
        <v>536</v>
      </c>
      <c r="B70">
        <v>96.95</v>
      </c>
      <c r="C70">
        <v>1.96</v>
      </c>
      <c r="D70">
        <v>2266482</v>
      </c>
      <c r="E70" t="s">
        <v>537</v>
      </c>
      <c r="F70" t="s">
        <v>538</v>
      </c>
      <c r="G70" t="s">
        <v>377</v>
      </c>
      <c r="H70" t="s">
        <v>376</v>
      </c>
      <c r="I70" t="s">
        <v>842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3</v>
      </c>
      <c r="AQ70" s="3">
        <v>0</v>
      </c>
      <c r="AR70" s="3">
        <v>0</v>
      </c>
      <c r="AS70">
        <v>0</v>
      </c>
      <c r="AT70">
        <v>0</v>
      </c>
      <c r="AU70">
        <v>0</v>
      </c>
      <c r="AV70">
        <v>3</v>
      </c>
      <c r="AW70">
        <v>3</v>
      </c>
      <c r="AX70">
        <v>18</v>
      </c>
      <c r="AY70">
        <v>0</v>
      </c>
      <c r="AZ70">
        <v>22</v>
      </c>
      <c r="BA70">
        <v>0</v>
      </c>
      <c r="BB70">
        <v>2</v>
      </c>
      <c r="BC70">
        <v>0</v>
      </c>
      <c r="BD70">
        <v>1</v>
      </c>
      <c r="BF70">
        <v>0</v>
      </c>
      <c r="BG70">
        <v>0</v>
      </c>
    </row>
    <row r="71" spans="1:59" x14ac:dyDescent="0.2">
      <c r="A71" t="s">
        <v>539</v>
      </c>
      <c r="B71">
        <v>79.37</v>
      </c>
      <c r="C71">
        <v>0.81</v>
      </c>
      <c r="D71">
        <v>2523621</v>
      </c>
      <c r="E71" t="s">
        <v>540</v>
      </c>
      <c r="F71" t="s">
        <v>541</v>
      </c>
      <c r="G71" t="s">
        <v>403</v>
      </c>
      <c r="H71" t="s">
        <v>43</v>
      </c>
      <c r="I71" t="s">
        <v>843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</v>
      </c>
      <c r="AQ71" s="3">
        <v>0</v>
      </c>
      <c r="AR71" s="3">
        <v>0</v>
      </c>
      <c r="AS71">
        <v>0</v>
      </c>
      <c r="AT71">
        <v>1</v>
      </c>
      <c r="AU71">
        <v>0</v>
      </c>
      <c r="AV71">
        <v>1</v>
      </c>
      <c r="AW71">
        <v>1</v>
      </c>
      <c r="AX71">
        <v>26</v>
      </c>
      <c r="AY71">
        <v>0</v>
      </c>
      <c r="AZ71">
        <v>29</v>
      </c>
      <c r="BA71">
        <v>0</v>
      </c>
      <c r="BB71">
        <v>6</v>
      </c>
      <c r="BC71">
        <v>0</v>
      </c>
      <c r="BD71">
        <v>0</v>
      </c>
      <c r="BF71">
        <v>1</v>
      </c>
      <c r="BG71">
        <v>0</v>
      </c>
    </row>
    <row r="72" spans="1:59" x14ac:dyDescent="0.2">
      <c r="A72" t="s">
        <v>542</v>
      </c>
      <c r="B72">
        <v>96.05</v>
      </c>
      <c r="C72">
        <v>4.49</v>
      </c>
      <c r="D72">
        <v>3026054</v>
      </c>
      <c r="E72" t="s">
        <v>543</v>
      </c>
      <c r="F72" t="s">
        <v>544</v>
      </c>
      <c r="G72" t="s">
        <v>325</v>
      </c>
      <c r="H72" t="s">
        <v>545</v>
      </c>
      <c r="I72" t="s">
        <v>844</v>
      </c>
      <c r="J72">
        <v>0</v>
      </c>
      <c r="K72">
        <v>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</v>
      </c>
      <c r="AQ72" s="3">
        <v>0</v>
      </c>
      <c r="AR72" s="3">
        <v>0</v>
      </c>
      <c r="AS72">
        <v>0</v>
      </c>
      <c r="AT72">
        <v>0</v>
      </c>
      <c r="AU72">
        <v>0</v>
      </c>
      <c r="AV72">
        <v>3</v>
      </c>
      <c r="AW72">
        <v>3</v>
      </c>
      <c r="AX72">
        <v>25</v>
      </c>
      <c r="AY72">
        <v>0</v>
      </c>
      <c r="AZ72">
        <v>34</v>
      </c>
      <c r="BA72">
        <v>0</v>
      </c>
      <c r="BB72">
        <v>19</v>
      </c>
      <c r="BC72">
        <v>4</v>
      </c>
      <c r="BD72">
        <v>5</v>
      </c>
      <c r="BF72">
        <v>0</v>
      </c>
      <c r="BG72">
        <v>0</v>
      </c>
    </row>
    <row r="73" spans="1:59" x14ac:dyDescent="0.2">
      <c r="A73" t="s">
        <v>546</v>
      </c>
      <c r="B73">
        <v>93.15</v>
      </c>
      <c r="C73">
        <v>3.87</v>
      </c>
      <c r="D73">
        <v>3127578</v>
      </c>
      <c r="E73" t="s">
        <v>547</v>
      </c>
      <c r="F73" t="s">
        <v>412</v>
      </c>
      <c r="G73" t="s">
        <v>413</v>
      </c>
      <c r="H73" t="s">
        <v>293</v>
      </c>
      <c r="I73" t="s">
        <v>845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 s="3">
        <v>0</v>
      </c>
      <c r="AR73" s="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18</v>
      </c>
      <c r="AY73">
        <v>0</v>
      </c>
      <c r="AZ73">
        <v>19</v>
      </c>
      <c r="BA73">
        <v>0</v>
      </c>
      <c r="BB73">
        <v>2</v>
      </c>
      <c r="BC73">
        <v>6</v>
      </c>
      <c r="BD73">
        <v>6</v>
      </c>
      <c r="BF73">
        <v>0</v>
      </c>
      <c r="BG73">
        <v>0</v>
      </c>
    </row>
    <row r="74" spans="1:59" x14ac:dyDescent="0.2">
      <c r="A74" t="s">
        <v>548</v>
      </c>
      <c r="B74">
        <v>81.03</v>
      </c>
      <c r="C74">
        <v>0</v>
      </c>
      <c r="D74">
        <v>2648507</v>
      </c>
      <c r="E74" t="s">
        <v>549</v>
      </c>
      <c r="F74" t="s">
        <v>518</v>
      </c>
      <c r="G74" t="s">
        <v>496</v>
      </c>
      <c r="H74" t="s">
        <v>519</v>
      </c>
      <c r="I74" t="s">
        <v>846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</v>
      </c>
      <c r="AQ74" s="3">
        <v>0</v>
      </c>
      <c r="AR74" s="3">
        <v>0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14</v>
      </c>
      <c r="AY74">
        <v>2</v>
      </c>
      <c r="AZ74">
        <v>18</v>
      </c>
      <c r="BA74">
        <v>0</v>
      </c>
      <c r="BB74">
        <v>5</v>
      </c>
      <c r="BC74">
        <v>5</v>
      </c>
      <c r="BD74">
        <v>5</v>
      </c>
      <c r="BE74" s="3">
        <v>1</v>
      </c>
      <c r="BF74">
        <v>0</v>
      </c>
      <c r="BG74">
        <v>0</v>
      </c>
    </row>
    <row r="75" spans="1:59" x14ac:dyDescent="0.2">
      <c r="A75" t="s">
        <v>550</v>
      </c>
      <c r="B75">
        <v>70.45</v>
      </c>
      <c r="C75">
        <v>3.18</v>
      </c>
      <c r="D75">
        <v>2365985</v>
      </c>
      <c r="E75" t="s">
        <v>551</v>
      </c>
      <c r="F75" t="s">
        <v>552</v>
      </c>
      <c r="G75" t="s">
        <v>392</v>
      </c>
      <c r="H75" t="s">
        <v>263</v>
      </c>
      <c r="I75" t="s">
        <v>847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 s="3">
        <v>0</v>
      </c>
      <c r="AR75" s="3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14</v>
      </c>
      <c r="AY75">
        <v>0</v>
      </c>
      <c r="AZ75">
        <v>15</v>
      </c>
      <c r="BA75">
        <v>0</v>
      </c>
      <c r="BB75">
        <v>2</v>
      </c>
      <c r="BC75">
        <v>8</v>
      </c>
      <c r="BD75">
        <v>6</v>
      </c>
      <c r="BF75">
        <v>0</v>
      </c>
      <c r="BG75">
        <v>0</v>
      </c>
    </row>
    <row r="76" spans="1:59" x14ac:dyDescent="0.2">
      <c r="A76" t="s">
        <v>553</v>
      </c>
      <c r="B76">
        <v>86.89</v>
      </c>
      <c r="C76">
        <v>9</v>
      </c>
      <c r="D76">
        <v>4177508</v>
      </c>
      <c r="E76" t="s">
        <v>554</v>
      </c>
      <c r="F76" t="s">
        <v>555</v>
      </c>
      <c r="G76" t="s">
        <v>392</v>
      </c>
      <c r="H76" t="s">
        <v>263</v>
      </c>
      <c r="I76" t="s">
        <v>848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 s="3">
        <v>0</v>
      </c>
      <c r="AR76" s="3">
        <v>0</v>
      </c>
      <c r="AS76">
        <v>2</v>
      </c>
      <c r="AT76">
        <v>0</v>
      </c>
      <c r="AU76">
        <v>0</v>
      </c>
      <c r="AV76">
        <v>3</v>
      </c>
      <c r="AW76">
        <v>3</v>
      </c>
      <c r="AX76">
        <v>25</v>
      </c>
      <c r="AY76">
        <v>3</v>
      </c>
      <c r="AZ76">
        <v>29</v>
      </c>
      <c r="BA76">
        <v>0</v>
      </c>
      <c r="BB76">
        <v>7</v>
      </c>
      <c r="BC76">
        <v>9</v>
      </c>
      <c r="BD76">
        <v>7</v>
      </c>
      <c r="BE76" s="3">
        <v>1</v>
      </c>
      <c r="BF76">
        <v>0</v>
      </c>
      <c r="BG76">
        <v>0</v>
      </c>
    </row>
    <row r="77" spans="1:59" x14ac:dyDescent="0.2">
      <c r="A77" t="s">
        <v>556</v>
      </c>
      <c r="B77">
        <v>80.819999999999993</v>
      </c>
      <c r="C77">
        <v>4.16</v>
      </c>
      <c r="D77">
        <v>3461213</v>
      </c>
      <c r="E77" t="s">
        <v>480</v>
      </c>
      <c r="F77" t="s">
        <v>481</v>
      </c>
      <c r="G77" t="s">
        <v>325</v>
      </c>
      <c r="H77" t="s">
        <v>33</v>
      </c>
      <c r="I77" t="s">
        <v>849</v>
      </c>
      <c r="J77">
        <v>1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1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2</v>
      </c>
      <c r="AE77">
        <v>2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4</v>
      </c>
      <c r="AQ77" s="3">
        <v>0</v>
      </c>
      <c r="AR77" s="3">
        <v>1</v>
      </c>
      <c r="AS77">
        <v>0</v>
      </c>
      <c r="AT77">
        <v>3</v>
      </c>
      <c r="AU77">
        <v>0</v>
      </c>
      <c r="AV77">
        <v>10</v>
      </c>
      <c r="AW77">
        <v>11</v>
      </c>
      <c r="AX77">
        <v>41</v>
      </c>
      <c r="AY77">
        <v>1</v>
      </c>
      <c r="AZ77">
        <v>48</v>
      </c>
      <c r="BA77">
        <v>2</v>
      </c>
      <c r="BB77">
        <v>15</v>
      </c>
      <c r="BC77">
        <v>15</v>
      </c>
      <c r="BD77">
        <v>14</v>
      </c>
      <c r="BE77" s="3">
        <v>1</v>
      </c>
      <c r="BF77">
        <v>1</v>
      </c>
      <c r="BG77">
        <v>0</v>
      </c>
    </row>
    <row r="78" spans="1:59" x14ac:dyDescent="0.2">
      <c r="A78" t="s">
        <v>557</v>
      </c>
      <c r="B78">
        <v>90.46</v>
      </c>
      <c r="C78">
        <v>1.1100000000000001</v>
      </c>
      <c r="D78">
        <v>3335038</v>
      </c>
      <c r="E78" t="s">
        <v>480</v>
      </c>
      <c r="F78" t="s">
        <v>481</v>
      </c>
      <c r="G78" t="s">
        <v>325</v>
      </c>
      <c r="H78" t="s">
        <v>33</v>
      </c>
      <c r="I78" t="s">
        <v>850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2</v>
      </c>
      <c r="AA78">
        <v>0</v>
      </c>
      <c r="AB78">
        <v>1</v>
      </c>
      <c r="AC78">
        <v>1</v>
      </c>
      <c r="AD78">
        <v>3</v>
      </c>
      <c r="AE78">
        <v>2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</v>
      </c>
      <c r="AQ78" s="3">
        <v>0</v>
      </c>
      <c r="AR78" s="3">
        <v>1</v>
      </c>
      <c r="AS78">
        <v>1</v>
      </c>
      <c r="AT78">
        <v>0</v>
      </c>
      <c r="AU78">
        <v>0</v>
      </c>
      <c r="AV78">
        <v>6</v>
      </c>
      <c r="AW78">
        <v>6</v>
      </c>
      <c r="AX78">
        <v>35</v>
      </c>
      <c r="AY78">
        <v>1</v>
      </c>
      <c r="AZ78">
        <v>40</v>
      </c>
      <c r="BA78">
        <v>1</v>
      </c>
      <c r="BB78">
        <v>15</v>
      </c>
      <c r="BC78">
        <v>12</v>
      </c>
      <c r="BD78">
        <v>11</v>
      </c>
      <c r="BE78" s="3">
        <v>1</v>
      </c>
      <c r="BF78">
        <v>1</v>
      </c>
      <c r="BG78">
        <v>0</v>
      </c>
    </row>
    <row r="79" spans="1:59" x14ac:dyDescent="0.2">
      <c r="A79" t="s">
        <v>558</v>
      </c>
      <c r="B79">
        <v>72.760000000000005</v>
      </c>
      <c r="C79">
        <v>0</v>
      </c>
      <c r="D79">
        <v>3431697</v>
      </c>
      <c r="E79" t="s">
        <v>559</v>
      </c>
      <c r="F79" t="s">
        <v>465</v>
      </c>
      <c r="G79" t="s">
        <v>325</v>
      </c>
      <c r="H79" t="s">
        <v>40</v>
      </c>
      <c r="I79" t="s">
        <v>851</v>
      </c>
      <c r="J79">
        <v>0</v>
      </c>
      <c r="K79">
        <v>0</v>
      </c>
      <c r="L79">
        <v>4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2</v>
      </c>
      <c r="AA79">
        <v>0</v>
      </c>
      <c r="AB79">
        <v>2</v>
      </c>
      <c r="AC79">
        <v>1</v>
      </c>
      <c r="AD79">
        <v>1</v>
      </c>
      <c r="AE79">
        <v>4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2</v>
      </c>
      <c r="AQ79" s="3">
        <v>0</v>
      </c>
      <c r="AR79" s="3">
        <v>0</v>
      </c>
      <c r="AS79">
        <v>0</v>
      </c>
      <c r="AT79">
        <v>0</v>
      </c>
      <c r="AU79">
        <v>0</v>
      </c>
      <c r="AV79">
        <v>7</v>
      </c>
      <c r="AW79">
        <v>7</v>
      </c>
      <c r="AX79">
        <v>32</v>
      </c>
      <c r="AY79">
        <v>0</v>
      </c>
      <c r="AZ79">
        <v>45</v>
      </c>
      <c r="BA79">
        <v>0</v>
      </c>
      <c r="BB79">
        <v>22</v>
      </c>
      <c r="BC79">
        <v>2</v>
      </c>
      <c r="BD79">
        <v>2</v>
      </c>
      <c r="BF79">
        <v>1</v>
      </c>
      <c r="BG79">
        <v>0</v>
      </c>
    </row>
    <row r="80" spans="1:59" x14ac:dyDescent="0.2">
      <c r="A80" t="s">
        <v>560</v>
      </c>
      <c r="B80">
        <v>92.38</v>
      </c>
      <c r="C80">
        <v>2.11</v>
      </c>
      <c r="D80">
        <v>3366796</v>
      </c>
      <c r="E80" t="s">
        <v>397</v>
      </c>
      <c r="F80" t="s">
        <v>372</v>
      </c>
      <c r="G80" t="s">
        <v>325</v>
      </c>
      <c r="H80" t="s">
        <v>33</v>
      </c>
      <c r="I80" t="s">
        <v>852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2</v>
      </c>
      <c r="Z80">
        <v>2</v>
      </c>
      <c r="AA80">
        <v>0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1</v>
      </c>
      <c r="AP80">
        <v>4</v>
      </c>
      <c r="AQ80" s="3">
        <v>1</v>
      </c>
      <c r="AR80" s="3">
        <v>1</v>
      </c>
      <c r="AS80">
        <v>0</v>
      </c>
      <c r="AT80">
        <v>2</v>
      </c>
      <c r="AU80">
        <v>1</v>
      </c>
      <c r="AV80">
        <v>3</v>
      </c>
      <c r="AW80">
        <v>3</v>
      </c>
      <c r="AX80">
        <v>36</v>
      </c>
      <c r="AY80">
        <v>0</v>
      </c>
      <c r="AZ80">
        <v>50</v>
      </c>
      <c r="BA80">
        <v>1</v>
      </c>
      <c r="BB80">
        <v>18</v>
      </c>
      <c r="BC80">
        <v>16</v>
      </c>
      <c r="BD80">
        <v>15</v>
      </c>
      <c r="BF80">
        <v>1</v>
      </c>
      <c r="BG80">
        <v>0</v>
      </c>
    </row>
    <row r="81" spans="1:59" x14ac:dyDescent="0.2">
      <c r="A81" t="s">
        <v>561</v>
      </c>
      <c r="B81">
        <v>96.19</v>
      </c>
      <c r="C81">
        <v>5.36</v>
      </c>
      <c r="D81">
        <v>3974379</v>
      </c>
      <c r="E81" t="s">
        <v>562</v>
      </c>
      <c r="F81" t="s">
        <v>563</v>
      </c>
      <c r="G81" t="s">
        <v>325</v>
      </c>
      <c r="H81" t="s">
        <v>33</v>
      </c>
      <c r="I81" t="s">
        <v>853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2</v>
      </c>
      <c r="Z81">
        <v>2</v>
      </c>
      <c r="AA81">
        <v>0</v>
      </c>
      <c r="AB81">
        <v>1</v>
      </c>
      <c r="AC81">
        <v>1</v>
      </c>
      <c r="AD81">
        <v>2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4</v>
      </c>
      <c r="AQ81" s="3">
        <v>1</v>
      </c>
      <c r="AR81" s="3">
        <v>1</v>
      </c>
      <c r="AS81">
        <v>1</v>
      </c>
      <c r="AT81">
        <v>2</v>
      </c>
      <c r="AU81">
        <v>1</v>
      </c>
      <c r="AV81">
        <v>10</v>
      </c>
      <c r="AW81">
        <v>10</v>
      </c>
      <c r="AX81">
        <v>50</v>
      </c>
      <c r="AY81">
        <v>0</v>
      </c>
      <c r="AZ81">
        <v>61</v>
      </c>
      <c r="BA81">
        <v>1</v>
      </c>
      <c r="BB81">
        <v>18</v>
      </c>
      <c r="BC81">
        <v>15</v>
      </c>
      <c r="BD81">
        <v>13</v>
      </c>
      <c r="BF81">
        <v>1</v>
      </c>
      <c r="BG81">
        <v>0</v>
      </c>
    </row>
    <row r="82" spans="1:59" x14ac:dyDescent="0.2">
      <c r="A82" t="s">
        <v>564</v>
      </c>
      <c r="B82">
        <v>88.26</v>
      </c>
      <c r="C82">
        <v>2.58</v>
      </c>
      <c r="D82">
        <v>3343087</v>
      </c>
      <c r="E82" t="s">
        <v>565</v>
      </c>
      <c r="F82" t="s">
        <v>444</v>
      </c>
      <c r="G82" t="s">
        <v>325</v>
      </c>
      <c r="H82" t="s">
        <v>43</v>
      </c>
      <c r="I82" t="s">
        <v>854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0</v>
      </c>
      <c r="Y82">
        <v>3</v>
      </c>
      <c r="Z82">
        <v>0</v>
      </c>
      <c r="AA82">
        <v>0</v>
      </c>
      <c r="AB82">
        <v>1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4</v>
      </c>
      <c r="AQ82" s="3">
        <v>0</v>
      </c>
      <c r="AR82" s="3">
        <v>-1</v>
      </c>
      <c r="AS82">
        <v>1</v>
      </c>
      <c r="AT82">
        <v>0</v>
      </c>
      <c r="AU82">
        <v>0</v>
      </c>
      <c r="AV82">
        <v>2</v>
      </c>
      <c r="AW82">
        <v>2</v>
      </c>
      <c r="AX82">
        <v>25</v>
      </c>
      <c r="AY82">
        <v>0</v>
      </c>
      <c r="AZ82">
        <v>30</v>
      </c>
      <c r="BA82">
        <v>0</v>
      </c>
      <c r="BB82">
        <v>6</v>
      </c>
      <c r="BC82">
        <v>0</v>
      </c>
      <c r="BD82">
        <v>0</v>
      </c>
      <c r="BF82">
        <v>0</v>
      </c>
      <c r="BG82">
        <v>0</v>
      </c>
    </row>
    <row r="83" spans="1:59" x14ac:dyDescent="0.2">
      <c r="A83" t="s">
        <v>566</v>
      </c>
      <c r="B83">
        <v>98.04</v>
      </c>
      <c r="C83">
        <v>3.15</v>
      </c>
      <c r="D83">
        <v>4806717</v>
      </c>
      <c r="E83" t="s">
        <v>354</v>
      </c>
      <c r="F83" t="s">
        <v>355</v>
      </c>
      <c r="G83" t="s">
        <v>325</v>
      </c>
      <c r="H83" t="s">
        <v>356</v>
      </c>
      <c r="I83" t="s">
        <v>855</v>
      </c>
      <c r="J83">
        <v>0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2</v>
      </c>
      <c r="Y83">
        <v>2</v>
      </c>
      <c r="Z83">
        <v>2</v>
      </c>
      <c r="AA83">
        <v>1</v>
      </c>
      <c r="AB83">
        <v>1</v>
      </c>
      <c r="AC83">
        <v>1</v>
      </c>
      <c r="AD83">
        <v>0</v>
      </c>
      <c r="AE83">
        <v>3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</v>
      </c>
      <c r="AQ83" s="3">
        <v>1</v>
      </c>
      <c r="AR83" s="3">
        <v>-1</v>
      </c>
      <c r="AS83">
        <v>0</v>
      </c>
      <c r="AT83">
        <v>0</v>
      </c>
      <c r="AU83">
        <v>0</v>
      </c>
      <c r="AV83">
        <v>7</v>
      </c>
      <c r="AW83">
        <v>7</v>
      </c>
      <c r="AX83">
        <v>40</v>
      </c>
      <c r="AY83">
        <v>0</v>
      </c>
      <c r="AZ83">
        <v>48</v>
      </c>
      <c r="BA83">
        <v>0</v>
      </c>
      <c r="BB83">
        <v>21</v>
      </c>
      <c r="BC83">
        <v>2</v>
      </c>
      <c r="BD83">
        <v>2</v>
      </c>
      <c r="BF83">
        <v>0</v>
      </c>
      <c r="BG83">
        <v>1</v>
      </c>
    </row>
    <row r="84" spans="1:59" x14ac:dyDescent="0.2">
      <c r="A84" t="s">
        <v>567</v>
      </c>
      <c r="B84">
        <v>90.63</v>
      </c>
      <c r="C84">
        <v>3.63</v>
      </c>
      <c r="D84">
        <v>3283454</v>
      </c>
      <c r="E84" t="s">
        <v>428</v>
      </c>
      <c r="F84" t="s">
        <v>568</v>
      </c>
      <c r="G84" t="s">
        <v>325</v>
      </c>
      <c r="H84" t="s">
        <v>40</v>
      </c>
      <c r="I84" t="s">
        <v>856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2</v>
      </c>
      <c r="AQ84" s="3">
        <v>0</v>
      </c>
      <c r="AR84" s="3">
        <v>-1</v>
      </c>
      <c r="AS84">
        <v>0</v>
      </c>
      <c r="AT84">
        <v>0</v>
      </c>
      <c r="AU84">
        <v>0</v>
      </c>
      <c r="AV84">
        <v>4</v>
      </c>
      <c r="AW84">
        <v>5</v>
      </c>
      <c r="AX84">
        <v>24</v>
      </c>
      <c r="AY84">
        <v>0</v>
      </c>
      <c r="AZ84">
        <v>28</v>
      </c>
      <c r="BA84">
        <v>0</v>
      </c>
      <c r="BB84">
        <v>12</v>
      </c>
      <c r="BC84">
        <v>2</v>
      </c>
      <c r="BD84">
        <v>2</v>
      </c>
      <c r="BF84">
        <v>0</v>
      </c>
      <c r="BG84">
        <v>0</v>
      </c>
    </row>
    <row r="85" spans="1:59" x14ac:dyDescent="0.2">
      <c r="A85" t="s">
        <v>569</v>
      </c>
      <c r="B85">
        <v>83.54</v>
      </c>
      <c r="C85">
        <v>6.47</v>
      </c>
      <c r="D85">
        <v>3221756</v>
      </c>
      <c r="E85" t="s">
        <v>570</v>
      </c>
      <c r="F85" t="s">
        <v>571</v>
      </c>
      <c r="G85" t="s">
        <v>325</v>
      </c>
      <c r="H85" t="s">
        <v>33</v>
      </c>
      <c r="I85" t="s">
        <v>857</v>
      </c>
      <c r="J85">
        <v>0</v>
      </c>
      <c r="K85">
        <v>0</v>
      </c>
      <c r="L85">
        <v>2</v>
      </c>
      <c r="M85">
        <v>1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4</v>
      </c>
      <c r="W85">
        <v>1</v>
      </c>
      <c r="X85">
        <v>1</v>
      </c>
      <c r="Y85">
        <v>2</v>
      </c>
      <c r="Z85">
        <v>5</v>
      </c>
      <c r="AA85">
        <v>0</v>
      </c>
      <c r="AB85">
        <v>1</v>
      </c>
      <c r="AC85">
        <v>1</v>
      </c>
      <c r="AD85">
        <v>3</v>
      </c>
      <c r="AE85">
        <v>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</v>
      </c>
      <c r="AQ85" s="3">
        <v>1</v>
      </c>
      <c r="AR85" s="3">
        <v>1</v>
      </c>
      <c r="AS85">
        <v>0</v>
      </c>
      <c r="AT85">
        <v>2</v>
      </c>
      <c r="AU85">
        <v>0</v>
      </c>
      <c r="AV85">
        <v>5</v>
      </c>
      <c r="AW85">
        <v>5</v>
      </c>
      <c r="AX85">
        <v>40</v>
      </c>
      <c r="AY85">
        <v>0</v>
      </c>
      <c r="AZ85">
        <v>54</v>
      </c>
      <c r="BA85">
        <v>0</v>
      </c>
      <c r="BB85">
        <v>13</v>
      </c>
      <c r="BC85">
        <v>17</v>
      </c>
      <c r="BD85">
        <v>14</v>
      </c>
      <c r="BF85">
        <v>1</v>
      </c>
      <c r="BG85">
        <v>0</v>
      </c>
    </row>
    <row r="86" spans="1:59" x14ac:dyDescent="0.2">
      <c r="A86" t="s">
        <v>572</v>
      </c>
      <c r="B86">
        <v>89.68</v>
      </c>
      <c r="C86">
        <v>0.04</v>
      </c>
      <c r="D86">
        <v>2431405</v>
      </c>
      <c r="E86" t="s">
        <v>521</v>
      </c>
      <c r="F86" t="s">
        <v>522</v>
      </c>
      <c r="G86" t="s">
        <v>413</v>
      </c>
      <c r="H86" t="s">
        <v>34</v>
      </c>
      <c r="I86" t="s">
        <v>858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</v>
      </c>
      <c r="AQ86" s="3">
        <v>0</v>
      </c>
      <c r="AR86" s="3">
        <v>-1</v>
      </c>
      <c r="AS86">
        <v>0</v>
      </c>
      <c r="AT86">
        <v>0</v>
      </c>
      <c r="AU86">
        <v>0</v>
      </c>
      <c r="AV86">
        <v>3</v>
      </c>
      <c r="AW86">
        <v>3</v>
      </c>
      <c r="AX86">
        <v>16</v>
      </c>
      <c r="AY86">
        <v>0</v>
      </c>
      <c r="AZ86">
        <v>16</v>
      </c>
      <c r="BA86">
        <v>0</v>
      </c>
      <c r="BB86">
        <v>2</v>
      </c>
      <c r="BC86">
        <v>1</v>
      </c>
      <c r="BD86">
        <v>0</v>
      </c>
      <c r="BF86">
        <v>0</v>
      </c>
      <c r="BG86">
        <v>0</v>
      </c>
    </row>
    <row r="87" spans="1:59" x14ac:dyDescent="0.2">
      <c r="A87" t="s">
        <v>573</v>
      </c>
      <c r="B87">
        <v>82.08</v>
      </c>
      <c r="C87">
        <v>6.31</v>
      </c>
      <c r="D87">
        <v>3161055</v>
      </c>
      <c r="E87" t="s">
        <v>574</v>
      </c>
      <c r="F87" t="s">
        <v>575</v>
      </c>
      <c r="G87" t="s">
        <v>325</v>
      </c>
      <c r="H87" t="s">
        <v>207</v>
      </c>
      <c r="I87" t="s">
        <v>859</v>
      </c>
      <c r="J87">
        <v>0</v>
      </c>
      <c r="K87">
        <v>0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 s="3">
        <v>0</v>
      </c>
      <c r="AR87" s="3">
        <v>-1</v>
      </c>
      <c r="AS87">
        <v>0</v>
      </c>
      <c r="AT87">
        <v>1</v>
      </c>
      <c r="AU87">
        <v>0</v>
      </c>
      <c r="AV87">
        <v>1</v>
      </c>
      <c r="AW87">
        <v>1</v>
      </c>
      <c r="AX87">
        <v>14</v>
      </c>
      <c r="AY87">
        <v>0</v>
      </c>
      <c r="AZ87">
        <v>19</v>
      </c>
      <c r="BA87">
        <v>0</v>
      </c>
      <c r="BB87">
        <v>6</v>
      </c>
      <c r="BC87">
        <v>2</v>
      </c>
      <c r="BD87">
        <v>2</v>
      </c>
      <c r="BF87">
        <v>0</v>
      </c>
      <c r="BG87">
        <v>0</v>
      </c>
    </row>
    <row r="88" spans="1:59" x14ac:dyDescent="0.2">
      <c r="A88" t="s">
        <v>576</v>
      </c>
      <c r="B88">
        <v>75.88</v>
      </c>
      <c r="C88">
        <v>6.54</v>
      </c>
      <c r="D88">
        <v>2589380</v>
      </c>
      <c r="E88" t="s">
        <v>577</v>
      </c>
      <c r="F88" t="s">
        <v>421</v>
      </c>
      <c r="G88" t="s">
        <v>43</v>
      </c>
      <c r="H88" t="s">
        <v>43</v>
      </c>
      <c r="I88" t="s">
        <v>860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3">
        <v>0</v>
      </c>
      <c r="AR88" s="3">
        <v>0</v>
      </c>
      <c r="AS88">
        <v>0</v>
      </c>
      <c r="AT88">
        <v>0</v>
      </c>
      <c r="AU88">
        <v>0</v>
      </c>
      <c r="AV88">
        <v>2</v>
      </c>
      <c r="AW88">
        <v>2</v>
      </c>
      <c r="AX88">
        <v>18</v>
      </c>
      <c r="AY88">
        <v>0</v>
      </c>
      <c r="AZ88">
        <v>20</v>
      </c>
      <c r="BA88">
        <v>0</v>
      </c>
      <c r="BB88">
        <v>5</v>
      </c>
      <c r="BC88">
        <v>5</v>
      </c>
      <c r="BD88">
        <v>5</v>
      </c>
      <c r="BF88">
        <v>0</v>
      </c>
      <c r="BG88">
        <v>0</v>
      </c>
    </row>
    <row r="89" spans="1:59" x14ac:dyDescent="0.2">
      <c r="A89" t="s">
        <v>578</v>
      </c>
      <c r="B89">
        <v>98.04</v>
      </c>
      <c r="C89">
        <v>3.26</v>
      </c>
      <c r="D89">
        <v>4332412</v>
      </c>
      <c r="E89" t="s">
        <v>579</v>
      </c>
      <c r="F89" t="s">
        <v>580</v>
      </c>
      <c r="G89" t="s">
        <v>325</v>
      </c>
      <c r="H89" t="s">
        <v>38</v>
      </c>
      <c r="I89" t="s">
        <v>861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2</v>
      </c>
      <c r="R89">
        <v>0</v>
      </c>
      <c r="S89">
        <v>0</v>
      </c>
      <c r="T89">
        <v>2</v>
      </c>
      <c r="U89">
        <v>0</v>
      </c>
      <c r="V89">
        <v>3</v>
      </c>
      <c r="W89">
        <v>1</v>
      </c>
      <c r="X89">
        <v>1</v>
      </c>
      <c r="Y89">
        <v>3</v>
      </c>
      <c r="Z89">
        <v>3</v>
      </c>
      <c r="AA89">
        <v>0</v>
      </c>
      <c r="AB89">
        <v>1</v>
      </c>
      <c r="AC89">
        <v>0</v>
      </c>
      <c r="AD89">
        <v>3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6</v>
      </c>
      <c r="AQ89" s="3">
        <v>1</v>
      </c>
      <c r="AR89" s="3">
        <v>-1</v>
      </c>
      <c r="AS89">
        <v>0</v>
      </c>
      <c r="AT89">
        <v>2</v>
      </c>
      <c r="AU89">
        <v>0</v>
      </c>
      <c r="AV89">
        <v>10</v>
      </c>
      <c r="AW89">
        <v>9</v>
      </c>
      <c r="AX89">
        <v>43</v>
      </c>
      <c r="AY89">
        <v>2</v>
      </c>
      <c r="AZ89">
        <v>60</v>
      </c>
      <c r="BA89">
        <v>0</v>
      </c>
      <c r="BB89">
        <v>12</v>
      </c>
      <c r="BC89">
        <v>3</v>
      </c>
      <c r="BD89">
        <v>3</v>
      </c>
      <c r="BE89" s="3">
        <v>1</v>
      </c>
      <c r="BF89">
        <v>1</v>
      </c>
      <c r="BG89">
        <v>0</v>
      </c>
    </row>
    <row r="90" spans="1:59" x14ac:dyDescent="0.2">
      <c r="A90" t="s">
        <v>581</v>
      </c>
      <c r="B90">
        <v>87.29</v>
      </c>
      <c r="C90">
        <v>5.12</v>
      </c>
      <c r="D90">
        <v>1855822</v>
      </c>
      <c r="E90" t="s">
        <v>534</v>
      </c>
      <c r="F90" t="s">
        <v>535</v>
      </c>
      <c r="G90" t="s">
        <v>377</v>
      </c>
      <c r="H90" t="s">
        <v>376</v>
      </c>
      <c r="I90" t="s">
        <v>862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 s="3">
        <v>0</v>
      </c>
      <c r="AR90" s="3">
        <v>0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12</v>
      </c>
      <c r="AY90">
        <v>0</v>
      </c>
      <c r="AZ90">
        <v>17</v>
      </c>
      <c r="BA90">
        <v>0</v>
      </c>
      <c r="BB90">
        <v>3</v>
      </c>
      <c r="BC90">
        <v>0</v>
      </c>
      <c r="BD90">
        <v>0</v>
      </c>
      <c r="BF90">
        <v>0</v>
      </c>
      <c r="BG90">
        <v>0</v>
      </c>
    </row>
    <row r="91" spans="1:59" x14ac:dyDescent="0.2">
      <c r="A91" t="s">
        <v>582</v>
      </c>
      <c r="B91">
        <v>81.010000000000005</v>
      </c>
      <c r="C91">
        <v>1.61</v>
      </c>
      <c r="D91">
        <v>2027301</v>
      </c>
      <c r="E91" t="s">
        <v>583</v>
      </c>
      <c r="F91" t="s">
        <v>584</v>
      </c>
      <c r="G91" t="s">
        <v>413</v>
      </c>
      <c r="H91" t="s">
        <v>34</v>
      </c>
      <c r="I91" t="s">
        <v>863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</v>
      </c>
      <c r="AQ91" s="3">
        <v>0</v>
      </c>
      <c r="AR91" s="3">
        <v>0</v>
      </c>
      <c r="AS91">
        <v>0</v>
      </c>
      <c r="AT91">
        <v>3</v>
      </c>
      <c r="AU91">
        <v>14</v>
      </c>
      <c r="AV91">
        <v>1</v>
      </c>
      <c r="AW91">
        <v>0</v>
      </c>
      <c r="AX91">
        <v>0</v>
      </c>
      <c r="AY91">
        <v>0</v>
      </c>
      <c r="AZ91">
        <v>14</v>
      </c>
      <c r="BA91">
        <v>0</v>
      </c>
      <c r="BB91">
        <v>0</v>
      </c>
      <c r="BC91">
        <v>1</v>
      </c>
      <c r="BD91">
        <v>0</v>
      </c>
      <c r="BF91">
        <v>1</v>
      </c>
      <c r="BG91">
        <v>1</v>
      </c>
    </row>
    <row r="92" spans="1:59" x14ac:dyDescent="0.2">
      <c r="A92" t="s">
        <v>585</v>
      </c>
      <c r="B92">
        <v>89.84</v>
      </c>
      <c r="C92">
        <v>1.79</v>
      </c>
      <c r="D92">
        <v>3593948</v>
      </c>
      <c r="E92" t="s">
        <v>586</v>
      </c>
      <c r="F92" t="s">
        <v>587</v>
      </c>
      <c r="G92" t="s">
        <v>325</v>
      </c>
      <c r="H92" t="s">
        <v>33</v>
      </c>
      <c r="I92" t="s">
        <v>864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2</v>
      </c>
      <c r="W92">
        <v>1</v>
      </c>
      <c r="X92">
        <v>0</v>
      </c>
      <c r="Y92">
        <v>2</v>
      </c>
      <c r="Z92">
        <v>2</v>
      </c>
      <c r="AA92">
        <v>0</v>
      </c>
      <c r="AB92">
        <v>1</v>
      </c>
      <c r="AC92">
        <v>1</v>
      </c>
      <c r="AD92">
        <v>2</v>
      </c>
      <c r="AE92">
        <v>4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4</v>
      </c>
      <c r="AQ92" s="3">
        <v>1</v>
      </c>
      <c r="AR92" s="3">
        <v>1</v>
      </c>
      <c r="AS92">
        <v>0</v>
      </c>
      <c r="AT92">
        <v>3</v>
      </c>
      <c r="AU92">
        <v>0</v>
      </c>
      <c r="AV92">
        <v>6</v>
      </c>
      <c r="AW92">
        <v>7</v>
      </c>
      <c r="AX92">
        <v>40</v>
      </c>
      <c r="AY92">
        <v>0</v>
      </c>
      <c r="AZ92">
        <v>48</v>
      </c>
      <c r="BA92">
        <v>1</v>
      </c>
      <c r="BB92">
        <v>14</v>
      </c>
      <c r="BC92">
        <v>13</v>
      </c>
      <c r="BD92">
        <v>12</v>
      </c>
      <c r="BF92">
        <v>1</v>
      </c>
      <c r="BG92">
        <v>0</v>
      </c>
    </row>
    <row r="93" spans="1:59" x14ac:dyDescent="0.2">
      <c r="A93" t="s">
        <v>588</v>
      </c>
      <c r="B93">
        <v>94.59</v>
      </c>
      <c r="C93">
        <v>2.5299999999999998</v>
      </c>
      <c r="D93">
        <v>4248592</v>
      </c>
      <c r="E93" t="s">
        <v>589</v>
      </c>
      <c r="F93" t="s">
        <v>590</v>
      </c>
      <c r="G93" t="s">
        <v>413</v>
      </c>
      <c r="H93" t="s">
        <v>293</v>
      </c>
      <c r="I93" t="s">
        <v>865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s="3">
        <v>0</v>
      </c>
      <c r="AR93" s="3">
        <v>0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29</v>
      </c>
      <c r="AY93">
        <v>0</v>
      </c>
      <c r="AZ93">
        <v>31</v>
      </c>
      <c r="BA93">
        <v>0</v>
      </c>
      <c r="BB93">
        <v>5</v>
      </c>
      <c r="BC93">
        <v>7</v>
      </c>
      <c r="BD93">
        <v>7</v>
      </c>
      <c r="BF93">
        <v>0</v>
      </c>
      <c r="BG93">
        <v>0</v>
      </c>
    </row>
    <row r="94" spans="1:59" x14ac:dyDescent="0.2">
      <c r="A94" t="s">
        <v>591</v>
      </c>
      <c r="B94">
        <v>84.63</v>
      </c>
      <c r="C94">
        <v>3.73</v>
      </c>
      <c r="D94">
        <v>2983589</v>
      </c>
      <c r="E94" t="s">
        <v>592</v>
      </c>
      <c r="F94" t="s">
        <v>593</v>
      </c>
      <c r="G94" t="s">
        <v>325</v>
      </c>
      <c r="H94" t="s">
        <v>43</v>
      </c>
      <c r="I94" t="s">
        <v>866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 s="3">
        <v>0</v>
      </c>
      <c r="AR94" s="3">
        <v>-1</v>
      </c>
      <c r="AS94">
        <v>1</v>
      </c>
      <c r="AT94">
        <v>0</v>
      </c>
      <c r="AU94">
        <v>0</v>
      </c>
      <c r="AV94">
        <v>3</v>
      </c>
      <c r="AW94">
        <v>5</v>
      </c>
      <c r="AX94">
        <v>22</v>
      </c>
      <c r="AY94">
        <v>0</v>
      </c>
      <c r="AZ94">
        <v>22</v>
      </c>
      <c r="BA94">
        <v>0</v>
      </c>
      <c r="BB94">
        <v>2</v>
      </c>
      <c r="BC94">
        <v>2</v>
      </c>
      <c r="BD94">
        <v>2</v>
      </c>
      <c r="BF94">
        <v>0</v>
      </c>
      <c r="BG94">
        <v>0</v>
      </c>
    </row>
    <row r="95" spans="1:59" x14ac:dyDescent="0.2">
      <c r="A95" t="s">
        <v>594</v>
      </c>
      <c r="B95">
        <v>89.81</v>
      </c>
      <c r="C95">
        <v>5.99</v>
      </c>
      <c r="D95">
        <v>3526528</v>
      </c>
      <c r="E95" t="s">
        <v>595</v>
      </c>
      <c r="F95" t="s">
        <v>596</v>
      </c>
      <c r="G95" t="s">
        <v>325</v>
      </c>
      <c r="H95" t="s">
        <v>207</v>
      </c>
      <c r="I95" t="s">
        <v>867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4</v>
      </c>
      <c r="AQ95" s="3">
        <v>0</v>
      </c>
      <c r="AR95" s="3">
        <v>-1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14</v>
      </c>
      <c r="AY95">
        <v>0</v>
      </c>
      <c r="AZ95">
        <v>25</v>
      </c>
      <c r="BA95">
        <v>0</v>
      </c>
      <c r="BB95">
        <v>11</v>
      </c>
      <c r="BC95">
        <v>0</v>
      </c>
      <c r="BD95">
        <v>0</v>
      </c>
      <c r="BF95">
        <v>0</v>
      </c>
      <c r="BG95">
        <v>0</v>
      </c>
    </row>
    <row r="96" spans="1:59" x14ac:dyDescent="0.2">
      <c r="A96" t="s">
        <v>597</v>
      </c>
      <c r="B96">
        <v>78.98</v>
      </c>
      <c r="C96">
        <v>3.51</v>
      </c>
      <c r="D96">
        <v>4681480</v>
      </c>
      <c r="E96" t="s">
        <v>598</v>
      </c>
      <c r="F96" t="s">
        <v>599</v>
      </c>
      <c r="G96" t="s">
        <v>426</v>
      </c>
      <c r="H96" t="s">
        <v>43</v>
      </c>
      <c r="I96" t="s">
        <v>868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</v>
      </c>
      <c r="AQ96" s="3">
        <v>0</v>
      </c>
      <c r="AR96" s="3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19</v>
      </c>
      <c r="AY96">
        <v>1</v>
      </c>
      <c r="AZ96">
        <v>23</v>
      </c>
      <c r="BA96">
        <v>1</v>
      </c>
      <c r="BB96">
        <v>6</v>
      </c>
      <c r="BC96">
        <v>10</v>
      </c>
      <c r="BD96">
        <v>9</v>
      </c>
      <c r="BE96" s="3">
        <v>1</v>
      </c>
      <c r="BF96">
        <v>1</v>
      </c>
      <c r="BG96">
        <v>0</v>
      </c>
    </row>
    <row r="97" spans="1:59" x14ac:dyDescent="0.2">
      <c r="A97" t="s">
        <v>600</v>
      </c>
      <c r="B97">
        <v>93.98</v>
      </c>
      <c r="C97">
        <v>2.54</v>
      </c>
      <c r="D97">
        <v>2867582</v>
      </c>
      <c r="E97" t="s">
        <v>530</v>
      </c>
      <c r="F97" t="s">
        <v>531</v>
      </c>
      <c r="G97" t="s">
        <v>325</v>
      </c>
      <c r="H97" t="s">
        <v>33</v>
      </c>
      <c r="I97" t="s">
        <v>869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2</v>
      </c>
      <c r="W97">
        <v>1</v>
      </c>
      <c r="X97">
        <v>0</v>
      </c>
      <c r="Y97">
        <v>2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</v>
      </c>
      <c r="AQ97" s="3">
        <v>1</v>
      </c>
      <c r="AR97" s="3">
        <v>-1</v>
      </c>
      <c r="AS97">
        <v>0</v>
      </c>
      <c r="AT97">
        <v>0</v>
      </c>
      <c r="AU97">
        <v>0</v>
      </c>
      <c r="AV97">
        <v>5</v>
      </c>
      <c r="AW97">
        <v>7</v>
      </c>
      <c r="AX97">
        <v>40</v>
      </c>
      <c r="AY97">
        <v>1</v>
      </c>
      <c r="AZ97">
        <v>49</v>
      </c>
      <c r="BA97">
        <v>0</v>
      </c>
      <c r="BB97">
        <v>12</v>
      </c>
      <c r="BC97">
        <v>6</v>
      </c>
      <c r="BD97">
        <v>6</v>
      </c>
      <c r="BE97" s="3">
        <v>1</v>
      </c>
      <c r="BF97">
        <v>1</v>
      </c>
      <c r="BG97">
        <v>0</v>
      </c>
    </row>
    <row r="98" spans="1:59" x14ac:dyDescent="0.2">
      <c r="A98" t="s">
        <v>601</v>
      </c>
      <c r="B98">
        <v>70.150000000000006</v>
      </c>
      <c r="C98">
        <v>2.75</v>
      </c>
      <c r="D98">
        <v>3019163</v>
      </c>
      <c r="E98" t="s">
        <v>562</v>
      </c>
      <c r="F98" t="s">
        <v>563</v>
      </c>
      <c r="G98" t="s">
        <v>325</v>
      </c>
      <c r="H98" t="s">
        <v>33</v>
      </c>
      <c r="I98" t="s">
        <v>870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1</v>
      </c>
      <c r="Z98">
        <v>2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3</v>
      </c>
      <c r="AQ98" s="3">
        <v>1</v>
      </c>
      <c r="AR98" s="3">
        <v>-1</v>
      </c>
      <c r="AS98">
        <v>0</v>
      </c>
      <c r="AT98">
        <v>2</v>
      </c>
      <c r="AU98">
        <v>1</v>
      </c>
      <c r="AV98">
        <v>7</v>
      </c>
      <c r="AW98">
        <v>7</v>
      </c>
      <c r="AX98">
        <v>32</v>
      </c>
      <c r="AY98">
        <v>1</v>
      </c>
      <c r="AZ98">
        <v>40</v>
      </c>
      <c r="BA98">
        <v>0</v>
      </c>
      <c r="BB98">
        <v>11</v>
      </c>
      <c r="BC98">
        <v>7</v>
      </c>
      <c r="BD98">
        <v>6</v>
      </c>
      <c r="BE98" s="3">
        <v>1</v>
      </c>
      <c r="BF98">
        <v>1</v>
      </c>
      <c r="BG98">
        <v>0</v>
      </c>
    </row>
    <row r="99" spans="1:59" x14ac:dyDescent="0.2">
      <c r="A99" t="s">
        <v>602</v>
      </c>
      <c r="B99">
        <v>94.05</v>
      </c>
      <c r="C99">
        <v>7.36</v>
      </c>
      <c r="D99">
        <v>5965133</v>
      </c>
      <c r="E99" t="s">
        <v>389</v>
      </c>
      <c r="F99" t="s">
        <v>390</v>
      </c>
      <c r="G99" t="s">
        <v>392</v>
      </c>
      <c r="H99" t="s">
        <v>391</v>
      </c>
      <c r="I99" t="s">
        <v>871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</v>
      </c>
      <c r="AQ99" s="3">
        <v>0</v>
      </c>
      <c r="AR99" s="3">
        <v>0</v>
      </c>
      <c r="AS99">
        <v>2</v>
      </c>
      <c r="AT99">
        <v>1</v>
      </c>
      <c r="AU99">
        <v>0</v>
      </c>
      <c r="AV99">
        <v>3</v>
      </c>
      <c r="AW99">
        <v>4</v>
      </c>
      <c r="AX99">
        <v>40</v>
      </c>
      <c r="AY99">
        <v>0</v>
      </c>
      <c r="AZ99">
        <v>43</v>
      </c>
      <c r="BA99">
        <v>1</v>
      </c>
      <c r="BB99">
        <v>8</v>
      </c>
      <c r="BC99">
        <v>15</v>
      </c>
      <c r="BD99">
        <v>13</v>
      </c>
      <c r="BF99">
        <v>0</v>
      </c>
      <c r="BG99">
        <v>0</v>
      </c>
    </row>
    <row r="100" spans="1:59" x14ac:dyDescent="0.2">
      <c r="A100" t="s">
        <v>603</v>
      </c>
      <c r="B100">
        <v>82.52</v>
      </c>
      <c r="C100">
        <v>4.58</v>
      </c>
      <c r="D100">
        <v>2685978</v>
      </c>
      <c r="E100" t="s">
        <v>604</v>
      </c>
      <c r="F100" t="s">
        <v>412</v>
      </c>
      <c r="G100" t="s">
        <v>413</v>
      </c>
      <c r="H100" t="s">
        <v>293</v>
      </c>
      <c r="I100" t="s">
        <v>872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1</v>
      </c>
      <c r="AQ100" s="3">
        <v>0</v>
      </c>
      <c r="AR100" s="3">
        <v>0</v>
      </c>
      <c r="AS100">
        <v>0</v>
      </c>
      <c r="AT100">
        <v>1</v>
      </c>
      <c r="AU100">
        <v>0</v>
      </c>
      <c r="AV100">
        <v>1</v>
      </c>
      <c r="AW100">
        <v>1</v>
      </c>
      <c r="AX100">
        <v>21</v>
      </c>
      <c r="AY100">
        <v>0</v>
      </c>
      <c r="AZ100">
        <v>23</v>
      </c>
      <c r="BA100">
        <v>0</v>
      </c>
      <c r="BB100">
        <v>1</v>
      </c>
      <c r="BC100">
        <v>0</v>
      </c>
      <c r="BD100">
        <v>0</v>
      </c>
      <c r="BF100">
        <v>0</v>
      </c>
      <c r="BG100">
        <v>0</v>
      </c>
    </row>
    <row r="101" spans="1:59" x14ac:dyDescent="0.2">
      <c r="A101" t="s">
        <v>605</v>
      </c>
      <c r="B101">
        <v>70.489999999999995</v>
      </c>
      <c r="C101">
        <v>1.1000000000000001</v>
      </c>
      <c r="D101">
        <v>1976011</v>
      </c>
      <c r="E101" t="s">
        <v>606</v>
      </c>
      <c r="F101" t="s">
        <v>607</v>
      </c>
      <c r="G101" t="s">
        <v>325</v>
      </c>
      <c r="H101" t="s">
        <v>38</v>
      </c>
      <c r="I101" t="s">
        <v>873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2</v>
      </c>
      <c r="Y101">
        <v>2</v>
      </c>
      <c r="Z101">
        <v>1</v>
      </c>
      <c r="AA101">
        <v>0</v>
      </c>
      <c r="AB101">
        <v>1</v>
      </c>
      <c r="AC101">
        <v>2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</v>
      </c>
      <c r="AQ101" s="3">
        <v>1</v>
      </c>
      <c r="AR101" s="3">
        <v>1</v>
      </c>
      <c r="AS101">
        <v>0</v>
      </c>
      <c r="AT101">
        <v>2</v>
      </c>
      <c r="AU101">
        <v>1</v>
      </c>
      <c r="AV101">
        <v>3</v>
      </c>
      <c r="AW101">
        <v>4</v>
      </c>
      <c r="AX101">
        <v>24</v>
      </c>
      <c r="AY101">
        <v>0</v>
      </c>
      <c r="AZ101">
        <v>37</v>
      </c>
      <c r="BA101">
        <v>0</v>
      </c>
      <c r="BB101">
        <v>5</v>
      </c>
      <c r="BC101">
        <v>9</v>
      </c>
      <c r="BD101">
        <v>8</v>
      </c>
      <c r="BF101">
        <v>1</v>
      </c>
      <c r="BG101">
        <v>0</v>
      </c>
    </row>
    <row r="102" spans="1:59" x14ac:dyDescent="0.2">
      <c r="A102" t="s">
        <v>608</v>
      </c>
      <c r="B102">
        <v>90.87</v>
      </c>
      <c r="C102">
        <v>2.85</v>
      </c>
      <c r="D102">
        <v>3525164</v>
      </c>
      <c r="E102" t="s">
        <v>609</v>
      </c>
      <c r="F102" t="s">
        <v>610</v>
      </c>
      <c r="G102" t="s">
        <v>434</v>
      </c>
      <c r="H102" t="s">
        <v>44</v>
      </c>
      <c r="I102" t="s">
        <v>874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</v>
      </c>
      <c r="AQ102" s="3">
        <v>0</v>
      </c>
      <c r="AR102" s="3">
        <v>0</v>
      </c>
      <c r="AS102">
        <v>0</v>
      </c>
      <c r="AT102">
        <v>0</v>
      </c>
      <c r="AU102">
        <v>0</v>
      </c>
      <c r="AV102">
        <v>1</v>
      </c>
      <c r="AW102">
        <v>1</v>
      </c>
      <c r="AX102">
        <v>21</v>
      </c>
      <c r="AY102">
        <v>1</v>
      </c>
      <c r="AZ102">
        <v>22</v>
      </c>
      <c r="BA102">
        <v>0</v>
      </c>
      <c r="BB102">
        <v>7</v>
      </c>
      <c r="BC102">
        <v>8</v>
      </c>
      <c r="BD102">
        <v>7</v>
      </c>
      <c r="BE102" s="3">
        <v>1</v>
      </c>
      <c r="BF102">
        <v>0</v>
      </c>
      <c r="BG102">
        <v>0</v>
      </c>
    </row>
    <row r="103" spans="1:59" x14ac:dyDescent="0.2">
      <c r="A103" t="s">
        <v>611</v>
      </c>
      <c r="B103">
        <v>97.09</v>
      </c>
      <c r="C103">
        <v>2.63</v>
      </c>
      <c r="D103">
        <v>4451419</v>
      </c>
      <c r="E103" t="s">
        <v>612</v>
      </c>
      <c r="F103" t="s">
        <v>613</v>
      </c>
      <c r="G103" t="s">
        <v>325</v>
      </c>
      <c r="H103" t="s">
        <v>40</v>
      </c>
      <c r="I103" t="s">
        <v>875</v>
      </c>
      <c r="J103">
        <v>0</v>
      </c>
      <c r="K103">
        <v>0</v>
      </c>
      <c r="L103">
        <v>2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1</v>
      </c>
      <c r="X103">
        <v>1</v>
      </c>
      <c r="Y103">
        <v>2</v>
      </c>
      <c r="Z103">
        <v>1</v>
      </c>
      <c r="AA103">
        <v>2</v>
      </c>
      <c r="AB103">
        <v>3</v>
      </c>
      <c r="AC103">
        <v>2</v>
      </c>
      <c r="AD103">
        <v>2</v>
      </c>
      <c r="AE103">
        <v>3</v>
      </c>
      <c r="AF103">
        <v>1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</v>
      </c>
      <c r="AQ103" s="3">
        <v>1</v>
      </c>
      <c r="AR103" s="3">
        <v>1</v>
      </c>
      <c r="AS103">
        <v>1</v>
      </c>
      <c r="AT103">
        <v>0</v>
      </c>
      <c r="AU103">
        <v>0</v>
      </c>
      <c r="AV103">
        <v>4</v>
      </c>
      <c r="AW103">
        <v>4</v>
      </c>
      <c r="AX103">
        <v>42</v>
      </c>
      <c r="AY103">
        <v>0</v>
      </c>
      <c r="AZ103">
        <v>50</v>
      </c>
      <c r="BA103">
        <v>0</v>
      </c>
      <c r="BB103">
        <v>26</v>
      </c>
      <c r="BC103">
        <v>2</v>
      </c>
      <c r="BD103">
        <v>2</v>
      </c>
      <c r="BF103">
        <v>1</v>
      </c>
      <c r="BG103">
        <v>0</v>
      </c>
    </row>
    <row r="104" spans="1:59" x14ac:dyDescent="0.2">
      <c r="A104" t="s">
        <v>614</v>
      </c>
      <c r="B104">
        <v>71.09</v>
      </c>
      <c r="C104">
        <v>3.23</v>
      </c>
      <c r="D104">
        <v>3724322</v>
      </c>
      <c r="E104" t="s">
        <v>615</v>
      </c>
      <c r="F104" t="s">
        <v>555</v>
      </c>
      <c r="G104" t="s">
        <v>392</v>
      </c>
      <c r="H104" t="s">
        <v>616</v>
      </c>
      <c r="I104" t="s">
        <v>876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3</v>
      </c>
      <c r="AQ104" s="3">
        <v>0</v>
      </c>
      <c r="AR104" s="3">
        <v>0</v>
      </c>
      <c r="AS104">
        <v>2</v>
      </c>
      <c r="AT104">
        <v>0</v>
      </c>
      <c r="AU104">
        <v>0</v>
      </c>
      <c r="AV104">
        <v>6</v>
      </c>
      <c r="AW104">
        <v>6</v>
      </c>
      <c r="AX104">
        <v>19</v>
      </c>
      <c r="AY104">
        <v>1</v>
      </c>
      <c r="AZ104">
        <v>21</v>
      </c>
      <c r="BA104">
        <v>0</v>
      </c>
      <c r="BB104">
        <v>2</v>
      </c>
      <c r="BC104">
        <v>8</v>
      </c>
      <c r="BD104">
        <v>7</v>
      </c>
      <c r="BE104" s="3">
        <v>1</v>
      </c>
      <c r="BF104">
        <v>0</v>
      </c>
      <c r="BG104">
        <v>0</v>
      </c>
    </row>
    <row r="105" spans="1:59" x14ac:dyDescent="0.2">
      <c r="A105" t="s">
        <v>617</v>
      </c>
      <c r="B105">
        <v>90.2</v>
      </c>
      <c r="C105">
        <v>2.33</v>
      </c>
      <c r="D105">
        <v>2684931</v>
      </c>
      <c r="E105" t="s">
        <v>618</v>
      </c>
      <c r="F105" t="s">
        <v>618</v>
      </c>
      <c r="G105" t="s">
        <v>403</v>
      </c>
      <c r="H105" t="s">
        <v>284</v>
      </c>
      <c r="I105" t="s">
        <v>877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3</v>
      </c>
      <c r="AQ105" s="3">
        <v>-1</v>
      </c>
      <c r="AR105" s="3">
        <v>0</v>
      </c>
      <c r="AS105">
        <v>0</v>
      </c>
      <c r="AT105">
        <v>0</v>
      </c>
      <c r="AU105">
        <v>0</v>
      </c>
      <c r="AV105">
        <v>4</v>
      </c>
      <c r="AW105">
        <v>5</v>
      </c>
      <c r="AX105">
        <v>23</v>
      </c>
      <c r="AY105">
        <v>0</v>
      </c>
      <c r="AZ105">
        <v>29</v>
      </c>
      <c r="BA105">
        <v>0</v>
      </c>
      <c r="BB105">
        <v>9</v>
      </c>
      <c r="BC105">
        <v>0</v>
      </c>
      <c r="BD105">
        <v>0</v>
      </c>
      <c r="BF105">
        <v>1</v>
      </c>
      <c r="BG105">
        <v>0</v>
      </c>
    </row>
    <row r="106" spans="1:59" x14ac:dyDescent="0.2">
      <c r="A106" t="s">
        <v>619</v>
      </c>
      <c r="B106">
        <v>89.99</v>
      </c>
      <c r="C106">
        <v>2.19</v>
      </c>
      <c r="D106">
        <v>4010315</v>
      </c>
      <c r="E106" t="s">
        <v>620</v>
      </c>
      <c r="F106" t="s">
        <v>621</v>
      </c>
      <c r="G106" t="s">
        <v>325</v>
      </c>
      <c r="H106" t="s">
        <v>40</v>
      </c>
      <c r="I106" t="s">
        <v>878</v>
      </c>
      <c r="J106">
        <v>0</v>
      </c>
      <c r="K106">
        <v>0</v>
      </c>
      <c r="L106">
        <v>3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0</v>
      </c>
      <c r="X106">
        <v>1</v>
      </c>
      <c r="Y106">
        <v>2</v>
      </c>
      <c r="Z106">
        <v>1</v>
      </c>
      <c r="AA106">
        <v>1</v>
      </c>
      <c r="AB106">
        <v>3</v>
      </c>
      <c r="AC106">
        <v>2</v>
      </c>
      <c r="AD106">
        <v>5</v>
      </c>
      <c r="AE106">
        <v>3</v>
      </c>
      <c r="AF106">
        <v>1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3</v>
      </c>
      <c r="AQ106" s="3">
        <v>1</v>
      </c>
      <c r="AR106" s="3">
        <v>1</v>
      </c>
      <c r="AS106">
        <v>1</v>
      </c>
      <c r="AT106">
        <v>0</v>
      </c>
      <c r="AU106">
        <v>0</v>
      </c>
      <c r="AV106">
        <v>5</v>
      </c>
      <c r="AW106">
        <v>4</v>
      </c>
      <c r="AX106">
        <v>41</v>
      </c>
      <c r="AY106">
        <v>0</v>
      </c>
      <c r="AZ106">
        <v>48</v>
      </c>
      <c r="BA106">
        <v>0</v>
      </c>
      <c r="BB106">
        <v>29</v>
      </c>
      <c r="BC106">
        <v>2</v>
      </c>
      <c r="BD106">
        <v>2</v>
      </c>
      <c r="BF106">
        <v>1</v>
      </c>
      <c r="BG106">
        <v>0</v>
      </c>
    </row>
    <row r="107" spans="1:59" x14ac:dyDescent="0.2">
      <c r="A107" t="s">
        <v>622</v>
      </c>
      <c r="B107">
        <v>74.66</v>
      </c>
      <c r="C107">
        <v>3.42</v>
      </c>
      <c r="D107">
        <v>3609824</v>
      </c>
      <c r="E107" t="s">
        <v>623</v>
      </c>
      <c r="F107" t="s">
        <v>624</v>
      </c>
      <c r="G107" t="s">
        <v>325</v>
      </c>
      <c r="H107" t="s">
        <v>40</v>
      </c>
      <c r="I107" t="s">
        <v>879</v>
      </c>
      <c r="J107">
        <v>0</v>
      </c>
      <c r="K107">
        <v>0</v>
      </c>
      <c r="L107">
        <v>7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3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</v>
      </c>
      <c r="AQ107" s="3">
        <v>1</v>
      </c>
      <c r="AR107" s="3">
        <v>-1</v>
      </c>
      <c r="AS107">
        <v>0</v>
      </c>
      <c r="AT107">
        <v>0</v>
      </c>
      <c r="AU107">
        <v>0</v>
      </c>
      <c r="AV107">
        <v>10</v>
      </c>
      <c r="AW107">
        <v>10</v>
      </c>
      <c r="AX107">
        <v>40</v>
      </c>
      <c r="AY107">
        <v>0</v>
      </c>
      <c r="AZ107">
        <v>48</v>
      </c>
      <c r="BA107">
        <v>0</v>
      </c>
      <c r="BB107">
        <v>29</v>
      </c>
      <c r="BC107">
        <v>7</v>
      </c>
      <c r="BD107">
        <v>6</v>
      </c>
      <c r="BF107">
        <v>0</v>
      </c>
      <c r="BG107">
        <v>1</v>
      </c>
    </row>
    <row r="108" spans="1:59" x14ac:dyDescent="0.2">
      <c r="A108" t="s">
        <v>625</v>
      </c>
      <c r="B108">
        <v>90.58</v>
      </c>
      <c r="C108">
        <v>1.71</v>
      </c>
      <c r="D108">
        <v>3367549</v>
      </c>
      <c r="E108" t="s">
        <v>626</v>
      </c>
      <c r="F108" t="s">
        <v>627</v>
      </c>
      <c r="G108" t="s">
        <v>403</v>
      </c>
      <c r="H108" t="s">
        <v>39</v>
      </c>
      <c r="I108" t="s">
        <v>880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8</v>
      </c>
      <c r="AQ108" s="3">
        <v>0</v>
      </c>
      <c r="AR108" s="3">
        <v>0</v>
      </c>
      <c r="AS108">
        <v>1</v>
      </c>
      <c r="AT108">
        <v>0</v>
      </c>
      <c r="AU108">
        <v>0</v>
      </c>
      <c r="AV108">
        <v>7</v>
      </c>
      <c r="AW108">
        <v>7</v>
      </c>
      <c r="AX108">
        <v>37</v>
      </c>
      <c r="AY108">
        <v>1</v>
      </c>
      <c r="AZ108">
        <v>38</v>
      </c>
      <c r="BA108">
        <v>0</v>
      </c>
      <c r="BB108">
        <v>6</v>
      </c>
      <c r="BC108">
        <v>11</v>
      </c>
      <c r="BD108">
        <v>9</v>
      </c>
      <c r="BE108" s="3">
        <v>1</v>
      </c>
      <c r="BF108">
        <v>0</v>
      </c>
      <c r="BG108">
        <v>0</v>
      </c>
    </row>
    <row r="109" spans="1:59" x14ac:dyDescent="0.2">
      <c r="A109" t="s">
        <v>628</v>
      </c>
      <c r="B109">
        <v>90.35</v>
      </c>
      <c r="C109">
        <v>3.54</v>
      </c>
      <c r="D109">
        <v>4843794</v>
      </c>
      <c r="E109" t="s">
        <v>629</v>
      </c>
      <c r="F109" t="s">
        <v>489</v>
      </c>
      <c r="G109" t="s">
        <v>325</v>
      </c>
      <c r="H109" t="s">
        <v>33</v>
      </c>
      <c r="I109" t="s">
        <v>881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2</v>
      </c>
      <c r="X109">
        <v>0</v>
      </c>
      <c r="Y109">
        <v>1</v>
      </c>
      <c r="Z109">
        <v>4</v>
      </c>
      <c r="AA109">
        <v>0</v>
      </c>
      <c r="AB109">
        <v>1</v>
      </c>
      <c r="AC109">
        <v>1</v>
      </c>
      <c r="AD109">
        <v>1</v>
      </c>
      <c r="AE109">
        <v>3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3</v>
      </c>
      <c r="AQ109" s="3">
        <v>0</v>
      </c>
      <c r="AR109" s="3">
        <v>1</v>
      </c>
      <c r="AS109">
        <v>0</v>
      </c>
      <c r="AT109">
        <v>2</v>
      </c>
      <c r="AU109">
        <v>1</v>
      </c>
      <c r="AV109">
        <v>10</v>
      </c>
      <c r="AW109">
        <v>10</v>
      </c>
      <c r="AX109">
        <v>42</v>
      </c>
      <c r="AY109">
        <v>1</v>
      </c>
      <c r="AZ109">
        <v>56</v>
      </c>
      <c r="BA109">
        <v>1</v>
      </c>
      <c r="BB109">
        <v>25</v>
      </c>
      <c r="BC109">
        <v>18</v>
      </c>
      <c r="BD109">
        <v>14</v>
      </c>
      <c r="BE109" s="3">
        <v>1</v>
      </c>
      <c r="BF109">
        <v>1</v>
      </c>
      <c r="BG109">
        <v>0</v>
      </c>
    </row>
    <row r="110" spans="1:59" x14ac:dyDescent="0.2">
      <c r="A110" t="s">
        <v>630</v>
      </c>
      <c r="B110">
        <v>72.7</v>
      </c>
      <c r="C110">
        <v>7.38</v>
      </c>
      <c r="D110">
        <v>2887134</v>
      </c>
      <c r="E110" t="s">
        <v>397</v>
      </c>
      <c r="F110" t="s">
        <v>631</v>
      </c>
      <c r="G110" t="s">
        <v>325</v>
      </c>
      <c r="H110" t="s">
        <v>33</v>
      </c>
      <c r="I110" t="s">
        <v>882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1</v>
      </c>
      <c r="AD110">
        <v>2</v>
      </c>
      <c r="AE110">
        <v>2</v>
      </c>
      <c r="AF110">
        <v>3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3</v>
      </c>
      <c r="AQ110" s="3">
        <v>-1</v>
      </c>
      <c r="AR110" s="3">
        <v>1</v>
      </c>
      <c r="AS110">
        <v>1</v>
      </c>
      <c r="AT110">
        <v>0</v>
      </c>
      <c r="AU110">
        <v>0</v>
      </c>
      <c r="AV110">
        <v>2</v>
      </c>
      <c r="AW110">
        <v>2</v>
      </c>
      <c r="AX110">
        <v>21</v>
      </c>
      <c r="AY110">
        <v>1</v>
      </c>
      <c r="AZ110">
        <v>28</v>
      </c>
      <c r="BA110">
        <v>0</v>
      </c>
      <c r="BB110">
        <v>15</v>
      </c>
      <c r="BC110">
        <v>3</v>
      </c>
      <c r="BD110">
        <v>3</v>
      </c>
      <c r="BE110" s="3">
        <v>1</v>
      </c>
      <c r="BF110">
        <v>1</v>
      </c>
      <c r="BG110">
        <v>0</v>
      </c>
    </row>
    <row r="111" spans="1:59" x14ac:dyDescent="0.2">
      <c r="A111" t="s">
        <v>632</v>
      </c>
      <c r="B111">
        <v>83.1</v>
      </c>
      <c r="C111">
        <v>7</v>
      </c>
      <c r="D111">
        <v>4019819</v>
      </c>
      <c r="E111" t="s">
        <v>633</v>
      </c>
      <c r="F111" t="s">
        <v>634</v>
      </c>
      <c r="G111" t="s">
        <v>392</v>
      </c>
      <c r="H111" t="s">
        <v>43</v>
      </c>
      <c r="I111" t="s">
        <v>883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 s="3">
        <v>0</v>
      </c>
      <c r="AR111" s="3">
        <v>0</v>
      </c>
      <c r="AS111">
        <v>1</v>
      </c>
      <c r="AT111">
        <v>0</v>
      </c>
      <c r="AU111">
        <v>0</v>
      </c>
      <c r="AV111">
        <v>3</v>
      </c>
      <c r="AW111">
        <v>3</v>
      </c>
      <c r="AX111">
        <v>29</v>
      </c>
      <c r="AY111">
        <v>0</v>
      </c>
      <c r="AZ111">
        <v>32</v>
      </c>
      <c r="BA111">
        <v>0</v>
      </c>
      <c r="BB111">
        <v>1</v>
      </c>
      <c r="BC111">
        <v>17</v>
      </c>
      <c r="BD111">
        <v>14</v>
      </c>
      <c r="BF111">
        <v>0</v>
      </c>
      <c r="BG111">
        <v>0</v>
      </c>
    </row>
    <row r="112" spans="1:59" x14ac:dyDescent="0.2">
      <c r="A112" t="s">
        <v>635</v>
      </c>
      <c r="B112">
        <v>89.9</v>
      </c>
      <c r="C112">
        <v>6.2</v>
      </c>
      <c r="D112">
        <v>3901508</v>
      </c>
      <c r="E112" t="s">
        <v>636</v>
      </c>
      <c r="F112" t="s">
        <v>541</v>
      </c>
      <c r="G112" t="s">
        <v>403</v>
      </c>
      <c r="H112" t="s">
        <v>43</v>
      </c>
      <c r="I112" t="s">
        <v>884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</v>
      </c>
      <c r="AQ112" s="3">
        <v>0</v>
      </c>
      <c r="AR112" s="3">
        <v>0</v>
      </c>
      <c r="AS112">
        <v>0</v>
      </c>
      <c r="AT112">
        <v>0</v>
      </c>
      <c r="AU112">
        <v>0</v>
      </c>
      <c r="AV112">
        <v>2</v>
      </c>
      <c r="AW112">
        <v>2</v>
      </c>
      <c r="AX112">
        <v>29</v>
      </c>
      <c r="AY112">
        <v>0</v>
      </c>
      <c r="AZ112">
        <v>30</v>
      </c>
      <c r="BA112">
        <v>0</v>
      </c>
      <c r="BB112">
        <v>10</v>
      </c>
      <c r="BC112">
        <v>0</v>
      </c>
      <c r="BD112">
        <v>0</v>
      </c>
      <c r="BF112">
        <v>1</v>
      </c>
      <c r="BG112">
        <v>0</v>
      </c>
    </row>
    <row r="113" spans="1:59" x14ac:dyDescent="0.2">
      <c r="A113" t="s">
        <v>637</v>
      </c>
      <c r="B113">
        <v>93.47</v>
      </c>
      <c r="C113">
        <v>2.29</v>
      </c>
      <c r="D113">
        <v>2511143</v>
      </c>
      <c r="E113" t="s">
        <v>638</v>
      </c>
      <c r="F113" t="s">
        <v>639</v>
      </c>
      <c r="G113" t="s">
        <v>403</v>
      </c>
      <c r="H113" t="s">
        <v>472</v>
      </c>
      <c r="I113" t="s">
        <v>885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</v>
      </c>
      <c r="AQ113" s="3">
        <v>0</v>
      </c>
      <c r="AR113" s="3">
        <v>-1</v>
      </c>
      <c r="AS113">
        <v>0</v>
      </c>
      <c r="AT113">
        <v>0</v>
      </c>
      <c r="AU113">
        <v>0</v>
      </c>
      <c r="AV113">
        <v>2</v>
      </c>
      <c r="AW113">
        <v>2</v>
      </c>
      <c r="AX113">
        <v>22</v>
      </c>
      <c r="AY113">
        <v>0</v>
      </c>
      <c r="AZ113">
        <v>24</v>
      </c>
      <c r="BA113">
        <v>0</v>
      </c>
      <c r="BB113">
        <v>3</v>
      </c>
      <c r="BC113">
        <v>4</v>
      </c>
      <c r="BD113">
        <v>4</v>
      </c>
      <c r="BF113">
        <v>1</v>
      </c>
      <c r="BG113">
        <v>0</v>
      </c>
    </row>
    <row r="114" spans="1:59" x14ac:dyDescent="0.2">
      <c r="A114" t="s">
        <v>640</v>
      </c>
      <c r="B114">
        <v>71.66</v>
      </c>
      <c r="C114">
        <v>3.11</v>
      </c>
      <c r="D114">
        <v>3421932</v>
      </c>
      <c r="E114" t="s">
        <v>641</v>
      </c>
      <c r="F114" t="s">
        <v>525</v>
      </c>
      <c r="G114" t="s">
        <v>325</v>
      </c>
      <c r="H114" t="s">
        <v>35</v>
      </c>
      <c r="I114" t="s">
        <v>886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2</v>
      </c>
      <c r="AQ114" s="3">
        <v>0</v>
      </c>
      <c r="AR114" s="3">
        <v>-1</v>
      </c>
      <c r="AS114">
        <v>1</v>
      </c>
      <c r="AT114">
        <v>0</v>
      </c>
      <c r="AU114">
        <v>0</v>
      </c>
      <c r="AV114">
        <v>2</v>
      </c>
      <c r="AW114">
        <v>2</v>
      </c>
      <c r="AX114">
        <v>18</v>
      </c>
      <c r="AY114">
        <v>0</v>
      </c>
      <c r="AZ114">
        <v>20</v>
      </c>
      <c r="BA114">
        <v>0</v>
      </c>
      <c r="BB114">
        <v>1</v>
      </c>
      <c r="BC114">
        <v>3</v>
      </c>
      <c r="BD114">
        <v>3</v>
      </c>
      <c r="BF114">
        <v>0</v>
      </c>
      <c r="BG114">
        <v>0</v>
      </c>
    </row>
    <row r="115" spans="1:59" x14ac:dyDescent="0.2">
      <c r="A115" t="s">
        <v>642</v>
      </c>
      <c r="B115">
        <v>88.03</v>
      </c>
      <c r="C115">
        <v>2.14</v>
      </c>
      <c r="D115">
        <v>2596136</v>
      </c>
      <c r="E115" t="s">
        <v>643</v>
      </c>
      <c r="F115" t="s">
        <v>644</v>
      </c>
      <c r="G115" t="s">
        <v>403</v>
      </c>
      <c r="H115" t="s">
        <v>43</v>
      </c>
      <c r="I115" t="s">
        <v>887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3</v>
      </c>
      <c r="AQ115" s="3">
        <v>0</v>
      </c>
      <c r="AR115" s="3">
        <v>0</v>
      </c>
      <c r="AS115">
        <v>0</v>
      </c>
      <c r="AT115">
        <v>0</v>
      </c>
      <c r="AU115">
        <v>0</v>
      </c>
      <c r="AV115">
        <v>3</v>
      </c>
      <c r="AW115">
        <v>3</v>
      </c>
      <c r="AX115">
        <v>18</v>
      </c>
      <c r="AY115">
        <v>2</v>
      </c>
      <c r="AZ115">
        <v>18</v>
      </c>
      <c r="BA115">
        <v>0</v>
      </c>
      <c r="BB115">
        <v>8</v>
      </c>
      <c r="BC115">
        <v>14</v>
      </c>
      <c r="BD115">
        <v>10</v>
      </c>
      <c r="BE115" s="3">
        <v>1</v>
      </c>
      <c r="BF115">
        <v>0</v>
      </c>
      <c r="BG115">
        <v>0</v>
      </c>
    </row>
    <row r="116" spans="1:59" x14ac:dyDescent="0.2">
      <c r="A116" t="s">
        <v>645</v>
      </c>
      <c r="B116">
        <v>81.67</v>
      </c>
      <c r="C116">
        <v>6.59</v>
      </c>
      <c r="D116">
        <v>4647786</v>
      </c>
      <c r="E116" t="s">
        <v>646</v>
      </c>
      <c r="F116" t="s">
        <v>610</v>
      </c>
      <c r="G116" t="s">
        <v>434</v>
      </c>
      <c r="H116" t="s">
        <v>44</v>
      </c>
      <c r="I116" t="s">
        <v>888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2</v>
      </c>
      <c r="AQ116" s="3">
        <v>0</v>
      </c>
      <c r="AR116" s="3">
        <v>-1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28</v>
      </c>
      <c r="AY116">
        <v>1</v>
      </c>
      <c r="AZ116">
        <v>32</v>
      </c>
      <c r="BA116">
        <v>0</v>
      </c>
      <c r="BB116">
        <v>6</v>
      </c>
      <c r="BC116">
        <v>6</v>
      </c>
      <c r="BD116">
        <v>6</v>
      </c>
      <c r="BE116" s="3">
        <v>1</v>
      </c>
      <c r="BF116">
        <v>0</v>
      </c>
      <c r="BG116">
        <v>0</v>
      </c>
    </row>
    <row r="117" spans="1:59" x14ac:dyDescent="0.2">
      <c r="A117" t="s">
        <v>647</v>
      </c>
      <c r="B117">
        <v>96.64</v>
      </c>
      <c r="C117">
        <v>1.8</v>
      </c>
      <c r="D117">
        <v>2766659</v>
      </c>
      <c r="E117" t="s">
        <v>648</v>
      </c>
      <c r="F117" t="s">
        <v>649</v>
      </c>
      <c r="G117" t="s">
        <v>363</v>
      </c>
      <c r="H117" t="s">
        <v>43</v>
      </c>
      <c r="I117" t="s">
        <v>889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 s="3">
        <v>0</v>
      </c>
      <c r="AR117" s="3">
        <v>0</v>
      </c>
      <c r="AS117">
        <v>0</v>
      </c>
      <c r="AT117">
        <v>0</v>
      </c>
      <c r="AU117">
        <v>0</v>
      </c>
      <c r="AV117">
        <v>1</v>
      </c>
      <c r="AW117">
        <v>1</v>
      </c>
      <c r="AX117">
        <v>11</v>
      </c>
      <c r="AY117">
        <v>2</v>
      </c>
      <c r="AZ117">
        <v>12</v>
      </c>
      <c r="BA117">
        <v>0</v>
      </c>
      <c r="BB117">
        <v>4</v>
      </c>
      <c r="BC117">
        <v>5</v>
      </c>
      <c r="BD117">
        <v>4</v>
      </c>
      <c r="BE117" s="3">
        <v>1</v>
      </c>
      <c r="BF117">
        <v>0</v>
      </c>
      <c r="BG117">
        <v>0</v>
      </c>
    </row>
    <row r="118" spans="1:59" x14ac:dyDescent="0.2">
      <c r="A118" t="s">
        <v>650</v>
      </c>
      <c r="B118">
        <v>79.819999999999993</v>
      </c>
      <c r="C118">
        <v>4.74</v>
      </c>
      <c r="D118">
        <v>3012977</v>
      </c>
      <c r="E118" t="s">
        <v>651</v>
      </c>
      <c r="F118" t="s">
        <v>444</v>
      </c>
      <c r="G118" t="s">
        <v>325</v>
      </c>
      <c r="H118" t="s">
        <v>32</v>
      </c>
      <c r="I118" t="s">
        <v>890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4</v>
      </c>
      <c r="AQ118" s="3">
        <v>0</v>
      </c>
      <c r="AR118" s="3">
        <v>-1</v>
      </c>
      <c r="AS118">
        <v>0</v>
      </c>
      <c r="AT118">
        <v>0</v>
      </c>
      <c r="AU118">
        <v>0</v>
      </c>
      <c r="AV118">
        <v>8</v>
      </c>
      <c r="AW118">
        <v>8</v>
      </c>
      <c r="AX118">
        <v>33</v>
      </c>
      <c r="AY118">
        <v>1</v>
      </c>
      <c r="AZ118">
        <v>39</v>
      </c>
      <c r="BA118">
        <v>0</v>
      </c>
      <c r="BB118">
        <v>11</v>
      </c>
      <c r="BC118">
        <v>6</v>
      </c>
      <c r="BD118">
        <v>6</v>
      </c>
      <c r="BF118">
        <v>1</v>
      </c>
      <c r="BG118">
        <v>0</v>
      </c>
    </row>
    <row r="119" spans="1:59" x14ac:dyDescent="0.2">
      <c r="A119" t="s">
        <v>652</v>
      </c>
      <c r="B119">
        <v>71.72</v>
      </c>
      <c r="C119">
        <v>0</v>
      </c>
      <c r="D119">
        <v>3634830</v>
      </c>
      <c r="E119" t="s">
        <v>653</v>
      </c>
      <c r="F119" t="s">
        <v>654</v>
      </c>
      <c r="G119" t="s">
        <v>325</v>
      </c>
      <c r="H119" t="s">
        <v>40</v>
      </c>
      <c r="I119" t="s">
        <v>891</v>
      </c>
      <c r="J119">
        <v>0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2</v>
      </c>
      <c r="Z119">
        <v>3</v>
      </c>
      <c r="AA119">
        <v>1</v>
      </c>
      <c r="AB119">
        <v>2</v>
      </c>
      <c r="AC119">
        <v>1</v>
      </c>
      <c r="AD119">
        <v>1</v>
      </c>
      <c r="AE119">
        <v>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2</v>
      </c>
      <c r="AQ119" s="3">
        <v>1</v>
      </c>
      <c r="AR119" s="3">
        <v>0</v>
      </c>
      <c r="AS119">
        <v>1</v>
      </c>
      <c r="AT119">
        <v>0</v>
      </c>
      <c r="AU119">
        <v>0</v>
      </c>
      <c r="AV119">
        <v>6</v>
      </c>
      <c r="AW119">
        <v>6</v>
      </c>
      <c r="AX119">
        <v>39</v>
      </c>
      <c r="AY119">
        <v>0</v>
      </c>
      <c r="AZ119">
        <v>45</v>
      </c>
      <c r="BA119">
        <v>0</v>
      </c>
      <c r="BB119">
        <v>19</v>
      </c>
      <c r="BC119">
        <v>0</v>
      </c>
      <c r="BD119">
        <v>0</v>
      </c>
      <c r="BF119">
        <v>1</v>
      </c>
      <c r="BG119">
        <v>0</v>
      </c>
    </row>
    <row r="120" spans="1:59" x14ac:dyDescent="0.2">
      <c r="A120" t="s">
        <v>655</v>
      </c>
      <c r="B120">
        <v>98.72</v>
      </c>
      <c r="C120">
        <v>7.61</v>
      </c>
      <c r="D120">
        <v>4171600</v>
      </c>
      <c r="E120" t="s">
        <v>348</v>
      </c>
      <c r="F120" t="s">
        <v>349</v>
      </c>
      <c r="G120" t="s">
        <v>325</v>
      </c>
      <c r="H120" t="s">
        <v>207</v>
      </c>
      <c r="I120" t="s">
        <v>892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2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</v>
      </c>
      <c r="AQ120" s="3">
        <v>1</v>
      </c>
      <c r="AR120" s="3">
        <v>-1</v>
      </c>
      <c r="AS120">
        <v>0</v>
      </c>
      <c r="AT120">
        <v>1</v>
      </c>
      <c r="AU120">
        <v>0</v>
      </c>
      <c r="AV120">
        <v>1</v>
      </c>
      <c r="AW120">
        <v>1</v>
      </c>
      <c r="AX120">
        <v>23</v>
      </c>
      <c r="AY120">
        <v>0</v>
      </c>
      <c r="AZ120">
        <v>32</v>
      </c>
      <c r="BA120">
        <v>0</v>
      </c>
      <c r="BB120">
        <v>10</v>
      </c>
      <c r="BC120">
        <v>8</v>
      </c>
      <c r="BD120">
        <v>8</v>
      </c>
      <c r="BF120">
        <v>0</v>
      </c>
      <c r="BG120">
        <v>0</v>
      </c>
    </row>
    <row r="121" spans="1:59" x14ac:dyDescent="0.2">
      <c r="A121" t="s">
        <v>656</v>
      </c>
      <c r="B121">
        <v>87.74</v>
      </c>
      <c r="C121">
        <v>4.84</v>
      </c>
      <c r="D121">
        <v>3629831</v>
      </c>
      <c r="E121" t="s">
        <v>657</v>
      </c>
      <c r="F121" t="s">
        <v>522</v>
      </c>
      <c r="G121" t="s">
        <v>413</v>
      </c>
      <c r="H121" t="s">
        <v>43</v>
      </c>
      <c r="I121" t="s">
        <v>893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s="3">
        <v>0</v>
      </c>
      <c r="AR121" s="3">
        <v>0</v>
      </c>
      <c r="AS121">
        <v>0</v>
      </c>
      <c r="AT121">
        <v>1</v>
      </c>
      <c r="AU121">
        <v>0</v>
      </c>
      <c r="AV121">
        <v>2</v>
      </c>
      <c r="AW121">
        <v>2</v>
      </c>
      <c r="AX121">
        <v>30</v>
      </c>
      <c r="AY121">
        <v>1</v>
      </c>
      <c r="AZ121">
        <v>31</v>
      </c>
      <c r="BA121">
        <v>0</v>
      </c>
      <c r="BB121">
        <v>4</v>
      </c>
      <c r="BC121">
        <v>0</v>
      </c>
      <c r="BD121">
        <v>0</v>
      </c>
      <c r="BE121" s="3">
        <v>1</v>
      </c>
      <c r="BF121">
        <v>0</v>
      </c>
      <c r="BG121">
        <v>0</v>
      </c>
    </row>
    <row r="122" spans="1:59" x14ac:dyDescent="0.2">
      <c r="A122" t="s">
        <v>658</v>
      </c>
      <c r="B122">
        <v>86.77</v>
      </c>
      <c r="C122">
        <v>1.29</v>
      </c>
      <c r="D122">
        <v>4646581</v>
      </c>
      <c r="E122" t="s">
        <v>659</v>
      </c>
      <c r="F122" t="s">
        <v>450</v>
      </c>
      <c r="G122" t="s">
        <v>413</v>
      </c>
      <c r="H122" t="s">
        <v>260</v>
      </c>
      <c r="I122" t="s">
        <v>894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</v>
      </c>
      <c r="AQ122" s="3">
        <v>0</v>
      </c>
      <c r="AR122" s="3">
        <v>0</v>
      </c>
      <c r="AS122">
        <v>0</v>
      </c>
      <c r="AT122">
        <v>0</v>
      </c>
      <c r="AU122">
        <v>0</v>
      </c>
      <c r="AV122">
        <v>2</v>
      </c>
      <c r="AW122">
        <v>2</v>
      </c>
      <c r="AX122">
        <v>46</v>
      </c>
      <c r="AY122">
        <v>0</v>
      </c>
      <c r="AZ122">
        <v>58</v>
      </c>
      <c r="BA122">
        <v>0</v>
      </c>
      <c r="BB122">
        <v>7</v>
      </c>
      <c r="BC122">
        <v>3</v>
      </c>
      <c r="BD122">
        <v>2</v>
      </c>
      <c r="BF122">
        <v>0</v>
      </c>
      <c r="BG122">
        <v>0</v>
      </c>
    </row>
    <row r="123" spans="1:59" x14ac:dyDescent="0.2">
      <c r="A123" t="s">
        <v>660</v>
      </c>
      <c r="B123">
        <v>93.83</v>
      </c>
      <c r="C123">
        <v>7.63</v>
      </c>
      <c r="D123">
        <v>3425869</v>
      </c>
      <c r="E123" t="s">
        <v>661</v>
      </c>
      <c r="F123" t="s">
        <v>444</v>
      </c>
      <c r="G123" t="s">
        <v>325</v>
      </c>
      <c r="H123" t="s">
        <v>43</v>
      </c>
      <c r="I123" t="s">
        <v>895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2</v>
      </c>
      <c r="Z123">
        <v>1</v>
      </c>
      <c r="AA123">
        <v>0</v>
      </c>
      <c r="AB123">
        <v>1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4</v>
      </c>
      <c r="AQ123" s="3">
        <v>0</v>
      </c>
      <c r="AR123" s="3">
        <v>-1</v>
      </c>
      <c r="AS123">
        <v>1</v>
      </c>
      <c r="AT123">
        <v>0</v>
      </c>
      <c r="AU123">
        <v>0</v>
      </c>
      <c r="AV123">
        <v>3</v>
      </c>
      <c r="AW123">
        <v>4</v>
      </c>
      <c r="AX123">
        <v>25</v>
      </c>
      <c r="AY123">
        <v>2</v>
      </c>
      <c r="AZ123">
        <v>34</v>
      </c>
      <c r="BA123">
        <v>0</v>
      </c>
      <c r="BB123">
        <v>11</v>
      </c>
      <c r="BC123">
        <v>2</v>
      </c>
      <c r="BD123">
        <v>2</v>
      </c>
      <c r="BE123" s="3">
        <v>1</v>
      </c>
      <c r="BF123">
        <v>0</v>
      </c>
      <c r="BG123">
        <v>0</v>
      </c>
    </row>
    <row r="124" spans="1:59" x14ac:dyDescent="0.2">
      <c r="A124" t="s">
        <v>662</v>
      </c>
      <c r="B124">
        <v>74.8</v>
      </c>
      <c r="C124">
        <v>3.46</v>
      </c>
      <c r="D124">
        <v>2401997</v>
      </c>
      <c r="E124" t="s">
        <v>663</v>
      </c>
      <c r="F124" t="s">
        <v>462</v>
      </c>
      <c r="G124" t="s">
        <v>333</v>
      </c>
      <c r="H124" t="s">
        <v>664</v>
      </c>
      <c r="I124" t="s">
        <v>896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2</v>
      </c>
      <c r="AQ124" s="3">
        <v>0</v>
      </c>
      <c r="AR124" s="3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7</v>
      </c>
      <c r="AY124">
        <v>1</v>
      </c>
      <c r="AZ124">
        <v>8</v>
      </c>
      <c r="BA124">
        <v>0</v>
      </c>
      <c r="BB124">
        <v>3</v>
      </c>
      <c r="BC124">
        <v>0</v>
      </c>
      <c r="BD124">
        <v>0</v>
      </c>
      <c r="BE124" s="3">
        <v>1</v>
      </c>
      <c r="BF124">
        <v>0</v>
      </c>
      <c r="BG124">
        <v>0</v>
      </c>
    </row>
    <row r="125" spans="1:59" x14ac:dyDescent="0.2">
      <c r="A125" t="s">
        <v>665</v>
      </c>
      <c r="B125">
        <v>73.790000000000006</v>
      </c>
      <c r="C125">
        <v>3.45</v>
      </c>
      <c r="D125">
        <v>3105878</v>
      </c>
      <c r="E125" t="s">
        <v>666</v>
      </c>
      <c r="F125" t="s">
        <v>432</v>
      </c>
      <c r="G125" t="s">
        <v>363</v>
      </c>
      <c r="H125" t="s">
        <v>43</v>
      </c>
      <c r="I125" t="s">
        <v>897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 s="3">
        <v>0</v>
      </c>
      <c r="AR125" s="3">
        <v>0</v>
      </c>
      <c r="AS125">
        <v>0</v>
      </c>
      <c r="AT125">
        <v>0</v>
      </c>
      <c r="AU125">
        <v>0</v>
      </c>
      <c r="AV125">
        <v>2</v>
      </c>
      <c r="AW125">
        <v>3</v>
      </c>
      <c r="AX125">
        <v>11</v>
      </c>
      <c r="AY125">
        <v>2</v>
      </c>
      <c r="AZ125">
        <v>11</v>
      </c>
      <c r="BA125">
        <v>0</v>
      </c>
      <c r="BB125">
        <v>3</v>
      </c>
      <c r="BC125">
        <v>5</v>
      </c>
      <c r="BD125">
        <v>4</v>
      </c>
      <c r="BE125" s="3">
        <v>1</v>
      </c>
      <c r="BF125">
        <v>1</v>
      </c>
      <c r="BG125">
        <v>0</v>
      </c>
    </row>
    <row r="126" spans="1:59" x14ac:dyDescent="0.2">
      <c r="A126" t="s">
        <v>667</v>
      </c>
      <c r="B126">
        <v>85.25</v>
      </c>
      <c r="C126">
        <v>1.4</v>
      </c>
      <c r="D126">
        <v>3477860</v>
      </c>
      <c r="E126" t="s">
        <v>361</v>
      </c>
      <c r="F126" t="s">
        <v>362</v>
      </c>
      <c r="G126" t="s">
        <v>363</v>
      </c>
      <c r="H126" t="s">
        <v>43</v>
      </c>
      <c r="I126" t="s">
        <v>898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2</v>
      </c>
      <c r="AQ126" s="3">
        <v>0</v>
      </c>
      <c r="AR126" s="3">
        <v>-1</v>
      </c>
      <c r="AS126">
        <v>1</v>
      </c>
      <c r="AT126">
        <v>0</v>
      </c>
      <c r="AU126">
        <v>0</v>
      </c>
      <c r="AV126">
        <v>2</v>
      </c>
      <c r="AW126">
        <v>3</v>
      </c>
      <c r="AX126">
        <v>14</v>
      </c>
      <c r="AY126">
        <v>1</v>
      </c>
      <c r="AZ126">
        <v>17</v>
      </c>
      <c r="BA126">
        <v>0</v>
      </c>
      <c r="BB126">
        <v>5</v>
      </c>
      <c r="BC126">
        <v>0</v>
      </c>
      <c r="BD126">
        <v>0</v>
      </c>
      <c r="BE126" s="3">
        <v>1</v>
      </c>
      <c r="BF126">
        <v>0</v>
      </c>
      <c r="BG126">
        <v>0</v>
      </c>
    </row>
    <row r="127" spans="1:59" x14ac:dyDescent="0.2">
      <c r="A127" t="s">
        <v>668</v>
      </c>
      <c r="B127">
        <v>92.98</v>
      </c>
      <c r="C127">
        <v>7.34</v>
      </c>
      <c r="D127">
        <v>4713925</v>
      </c>
      <c r="E127" t="s">
        <v>669</v>
      </c>
      <c r="F127" t="s">
        <v>412</v>
      </c>
      <c r="G127" t="s">
        <v>413</v>
      </c>
      <c r="H127" t="s">
        <v>293</v>
      </c>
      <c r="I127" t="s">
        <v>899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1</v>
      </c>
      <c r="AC127">
        <v>2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</v>
      </c>
      <c r="AQ127" s="3">
        <v>0</v>
      </c>
      <c r="AR127" s="3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40</v>
      </c>
      <c r="AY127">
        <v>0</v>
      </c>
      <c r="AZ127">
        <v>44</v>
      </c>
      <c r="BA127">
        <v>0</v>
      </c>
      <c r="BB127">
        <v>8</v>
      </c>
      <c r="BC127">
        <v>1</v>
      </c>
      <c r="BD127">
        <v>1</v>
      </c>
      <c r="BF127">
        <v>0</v>
      </c>
      <c r="BG127">
        <v>0</v>
      </c>
    </row>
    <row r="128" spans="1:59" x14ac:dyDescent="0.2">
      <c r="A128" t="s">
        <v>670</v>
      </c>
      <c r="B128">
        <v>87.96</v>
      </c>
      <c r="C128">
        <v>0.32</v>
      </c>
      <c r="D128">
        <v>3169566</v>
      </c>
      <c r="E128" t="s">
        <v>671</v>
      </c>
      <c r="F128" t="s">
        <v>584</v>
      </c>
      <c r="G128" t="s">
        <v>413</v>
      </c>
      <c r="H128" t="s">
        <v>34</v>
      </c>
      <c r="I128" t="s">
        <v>900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3</v>
      </c>
      <c r="AQ128" s="3">
        <v>0</v>
      </c>
      <c r="AR128" s="3">
        <v>0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18</v>
      </c>
      <c r="AY128">
        <v>0</v>
      </c>
      <c r="AZ128">
        <v>20</v>
      </c>
      <c r="BA128">
        <v>0</v>
      </c>
      <c r="BB128">
        <v>2</v>
      </c>
      <c r="BC128">
        <v>0</v>
      </c>
      <c r="BD128">
        <v>0</v>
      </c>
      <c r="BF128">
        <v>0</v>
      </c>
      <c r="BG128">
        <v>0</v>
      </c>
    </row>
    <row r="129" spans="1:59" x14ac:dyDescent="0.2">
      <c r="A129" t="s">
        <v>672</v>
      </c>
      <c r="B129">
        <v>75.94</v>
      </c>
      <c r="C129">
        <v>1.92</v>
      </c>
      <c r="D129">
        <v>4037393</v>
      </c>
      <c r="E129" t="s">
        <v>673</v>
      </c>
      <c r="F129" t="s">
        <v>674</v>
      </c>
      <c r="G129" t="s">
        <v>392</v>
      </c>
      <c r="H129" t="s">
        <v>43</v>
      </c>
      <c r="I129" t="s">
        <v>901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6</v>
      </c>
      <c r="AQ129" s="3">
        <v>0</v>
      </c>
      <c r="AR129" s="3">
        <v>0</v>
      </c>
      <c r="AS129">
        <v>1</v>
      </c>
      <c r="AT129">
        <v>0</v>
      </c>
      <c r="AU129">
        <v>0</v>
      </c>
      <c r="AV129">
        <v>2</v>
      </c>
      <c r="AW129">
        <v>3</v>
      </c>
      <c r="AX129">
        <v>25</v>
      </c>
      <c r="AY129">
        <v>2</v>
      </c>
      <c r="AZ129">
        <v>35</v>
      </c>
      <c r="BA129">
        <v>0</v>
      </c>
      <c r="BB129">
        <v>2</v>
      </c>
      <c r="BC129">
        <v>20</v>
      </c>
      <c r="BD129">
        <v>18</v>
      </c>
      <c r="BE129" s="3">
        <v>1</v>
      </c>
      <c r="BF129">
        <v>0</v>
      </c>
      <c r="BG129">
        <v>0</v>
      </c>
    </row>
    <row r="130" spans="1:59" x14ac:dyDescent="0.2">
      <c r="A130" t="s">
        <v>675</v>
      </c>
      <c r="B130">
        <v>96.01</v>
      </c>
      <c r="C130">
        <v>2.56</v>
      </c>
      <c r="D130">
        <v>3590459</v>
      </c>
      <c r="E130" t="s">
        <v>400</v>
      </c>
      <c r="F130" t="s">
        <v>401</v>
      </c>
      <c r="G130" t="s">
        <v>403</v>
      </c>
      <c r="H130" t="s">
        <v>402</v>
      </c>
      <c r="I130" t="s">
        <v>902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2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7</v>
      </c>
      <c r="AQ130" s="3">
        <v>0</v>
      </c>
      <c r="AR130" s="3">
        <v>1</v>
      </c>
      <c r="AS130">
        <v>0</v>
      </c>
      <c r="AT130">
        <v>0</v>
      </c>
      <c r="AU130">
        <v>0</v>
      </c>
      <c r="AV130">
        <v>4</v>
      </c>
      <c r="AW130">
        <v>4</v>
      </c>
      <c r="AX130">
        <v>30</v>
      </c>
      <c r="AY130">
        <v>3</v>
      </c>
      <c r="AZ130">
        <v>36</v>
      </c>
      <c r="BA130">
        <v>0</v>
      </c>
      <c r="BB130">
        <v>14</v>
      </c>
      <c r="BC130">
        <v>12</v>
      </c>
      <c r="BD130">
        <v>11</v>
      </c>
      <c r="BE130" s="3">
        <v>1</v>
      </c>
      <c r="BF130">
        <v>1</v>
      </c>
      <c r="BG130">
        <v>0</v>
      </c>
    </row>
    <row r="131" spans="1:59" x14ac:dyDescent="0.2">
      <c r="A131" t="s">
        <v>676</v>
      </c>
      <c r="B131">
        <v>80.61</v>
      </c>
      <c r="C131">
        <v>4.7300000000000004</v>
      </c>
      <c r="D131">
        <v>2770726</v>
      </c>
      <c r="E131" t="s">
        <v>551</v>
      </c>
      <c r="F131" t="s">
        <v>552</v>
      </c>
      <c r="G131" t="s">
        <v>392</v>
      </c>
      <c r="H131" t="s">
        <v>263</v>
      </c>
      <c r="I131" t="s">
        <v>903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 s="3">
        <v>0</v>
      </c>
      <c r="AR131" s="3">
        <v>0</v>
      </c>
      <c r="AS131">
        <v>0</v>
      </c>
      <c r="AT131">
        <v>0</v>
      </c>
      <c r="AU131">
        <v>0</v>
      </c>
      <c r="AV131">
        <v>1</v>
      </c>
      <c r="AW131">
        <v>1</v>
      </c>
      <c r="AX131">
        <v>17</v>
      </c>
      <c r="AY131">
        <v>0</v>
      </c>
      <c r="AZ131">
        <v>18</v>
      </c>
      <c r="BA131">
        <v>0</v>
      </c>
      <c r="BB131">
        <v>2</v>
      </c>
      <c r="BC131">
        <v>9</v>
      </c>
      <c r="BD131">
        <v>6</v>
      </c>
      <c r="BF131">
        <v>0</v>
      </c>
      <c r="BG131">
        <v>0</v>
      </c>
    </row>
    <row r="132" spans="1:59" x14ac:dyDescent="0.2">
      <c r="A132" t="s">
        <v>677</v>
      </c>
      <c r="B132">
        <v>95.11</v>
      </c>
      <c r="C132">
        <v>1.42</v>
      </c>
      <c r="D132">
        <v>4259219</v>
      </c>
      <c r="E132" t="s">
        <v>678</v>
      </c>
      <c r="F132" t="s">
        <v>679</v>
      </c>
      <c r="G132" t="s">
        <v>325</v>
      </c>
      <c r="H132" t="s">
        <v>40</v>
      </c>
      <c r="I132" t="s">
        <v>904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</v>
      </c>
      <c r="Z132">
        <v>2</v>
      </c>
      <c r="AA132">
        <v>0</v>
      </c>
      <c r="AB132">
        <v>2</v>
      </c>
      <c r="AC132">
        <v>3</v>
      </c>
      <c r="AD132">
        <v>1</v>
      </c>
      <c r="AE132">
        <v>2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2</v>
      </c>
      <c r="AQ132" s="3">
        <v>-1</v>
      </c>
      <c r="AR132" s="3">
        <v>0</v>
      </c>
      <c r="AS132">
        <v>0</v>
      </c>
      <c r="AT132">
        <v>0</v>
      </c>
      <c r="AU132">
        <v>0</v>
      </c>
      <c r="AV132">
        <v>11</v>
      </c>
      <c r="AW132">
        <v>12</v>
      </c>
      <c r="AX132">
        <v>34</v>
      </c>
      <c r="AY132">
        <v>0</v>
      </c>
      <c r="AZ132">
        <v>40</v>
      </c>
      <c r="BA132">
        <v>0</v>
      </c>
      <c r="BB132">
        <v>21</v>
      </c>
      <c r="BC132">
        <v>4</v>
      </c>
      <c r="BD132">
        <v>4</v>
      </c>
      <c r="BF132">
        <v>0</v>
      </c>
      <c r="BG132">
        <v>1</v>
      </c>
    </row>
    <row r="133" spans="1:59" x14ac:dyDescent="0.2">
      <c r="A133" t="s">
        <v>680</v>
      </c>
      <c r="B133">
        <v>93.11</v>
      </c>
      <c r="C133">
        <v>3.85</v>
      </c>
      <c r="D133">
        <v>5723297</v>
      </c>
      <c r="E133" t="s">
        <v>681</v>
      </c>
      <c r="F133" t="s">
        <v>432</v>
      </c>
      <c r="G133" t="s">
        <v>434</v>
      </c>
      <c r="H133" t="s">
        <v>43</v>
      </c>
      <c r="I133" t="s">
        <v>905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7</v>
      </c>
      <c r="AQ133" s="3">
        <v>0</v>
      </c>
      <c r="AR133" s="3">
        <v>0</v>
      </c>
      <c r="AS133">
        <v>2</v>
      </c>
      <c r="AT133">
        <v>0</v>
      </c>
      <c r="AU133">
        <v>0</v>
      </c>
      <c r="AV133">
        <v>7</v>
      </c>
      <c r="AW133">
        <v>9</v>
      </c>
      <c r="AX133">
        <v>34</v>
      </c>
      <c r="AY133">
        <v>3</v>
      </c>
      <c r="AZ133">
        <v>33</v>
      </c>
      <c r="BA133">
        <v>0</v>
      </c>
      <c r="BB133">
        <v>6</v>
      </c>
      <c r="BC133">
        <v>15</v>
      </c>
      <c r="BD133">
        <v>13</v>
      </c>
      <c r="BE133" s="3">
        <v>1</v>
      </c>
      <c r="BF133">
        <v>0</v>
      </c>
      <c r="BG133">
        <v>0</v>
      </c>
    </row>
    <row r="134" spans="1:59" x14ac:dyDescent="0.2">
      <c r="A134" t="s">
        <v>682</v>
      </c>
      <c r="B134">
        <v>95.58</v>
      </c>
      <c r="C134">
        <v>5.39</v>
      </c>
      <c r="D134">
        <v>4290084</v>
      </c>
      <c r="E134" t="s">
        <v>428</v>
      </c>
      <c r="F134" t="s">
        <v>683</v>
      </c>
      <c r="G134" t="s">
        <v>325</v>
      </c>
      <c r="H134" t="s">
        <v>40</v>
      </c>
      <c r="I134" t="s">
        <v>906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4</v>
      </c>
      <c r="AQ134" s="3">
        <v>-1</v>
      </c>
      <c r="AR134" s="3">
        <v>1</v>
      </c>
      <c r="AS134">
        <v>1</v>
      </c>
      <c r="AT134">
        <v>0</v>
      </c>
      <c r="AU134">
        <v>0</v>
      </c>
      <c r="AV134">
        <v>5</v>
      </c>
      <c r="AW134">
        <v>6</v>
      </c>
      <c r="AX134">
        <v>47</v>
      </c>
      <c r="AY134">
        <v>1</v>
      </c>
      <c r="AZ134">
        <v>54</v>
      </c>
      <c r="BA134">
        <v>0</v>
      </c>
      <c r="BB134">
        <v>15</v>
      </c>
      <c r="BC134">
        <v>9</v>
      </c>
      <c r="BD134">
        <v>7</v>
      </c>
      <c r="BE134" s="3">
        <v>1</v>
      </c>
      <c r="BF134">
        <v>0</v>
      </c>
      <c r="BG134">
        <v>0</v>
      </c>
    </row>
    <row r="135" spans="1:59" x14ac:dyDescent="0.2">
      <c r="A135" t="s">
        <v>684</v>
      </c>
      <c r="B135">
        <v>89.89</v>
      </c>
      <c r="C135">
        <v>9.16</v>
      </c>
      <c r="D135">
        <v>3976307</v>
      </c>
      <c r="E135" t="s">
        <v>685</v>
      </c>
      <c r="F135" t="s">
        <v>455</v>
      </c>
      <c r="G135" t="s">
        <v>434</v>
      </c>
      <c r="H135" t="s">
        <v>43</v>
      </c>
      <c r="I135" t="s">
        <v>907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5</v>
      </c>
      <c r="AQ135" s="3">
        <v>0</v>
      </c>
      <c r="AR135" s="3">
        <v>0</v>
      </c>
      <c r="AS135">
        <v>0</v>
      </c>
      <c r="AT135">
        <v>0</v>
      </c>
      <c r="AU135">
        <v>0</v>
      </c>
      <c r="AV135">
        <v>3</v>
      </c>
      <c r="AW135">
        <v>3</v>
      </c>
      <c r="AX135">
        <v>29</v>
      </c>
      <c r="AY135">
        <v>3</v>
      </c>
      <c r="AZ135">
        <v>36</v>
      </c>
      <c r="BA135">
        <v>1</v>
      </c>
      <c r="BB135">
        <v>4</v>
      </c>
      <c r="BC135">
        <v>3</v>
      </c>
      <c r="BD135">
        <v>3</v>
      </c>
      <c r="BE135" s="3">
        <v>1</v>
      </c>
      <c r="BF135">
        <v>0</v>
      </c>
      <c r="BG135">
        <v>0</v>
      </c>
    </row>
    <row r="136" spans="1:59" x14ac:dyDescent="0.2">
      <c r="A136" t="s">
        <v>686</v>
      </c>
      <c r="B136">
        <v>90.12</v>
      </c>
      <c r="C136">
        <v>3.24</v>
      </c>
      <c r="D136">
        <v>3387991</v>
      </c>
      <c r="E136" t="s">
        <v>629</v>
      </c>
      <c r="F136" t="s">
        <v>631</v>
      </c>
      <c r="G136" t="s">
        <v>325</v>
      </c>
      <c r="H136" t="s">
        <v>33</v>
      </c>
      <c r="I136" t="s">
        <v>908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1</v>
      </c>
      <c r="X136">
        <v>0</v>
      </c>
      <c r="Y136">
        <v>0</v>
      </c>
      <c r="Z136">
        <v>2</v>
      </c>
      <c r="AA136">
        <v>0</v>
      </c>
      <c r="AB136">
        <v>1</v>
      </c>
      <c r="AC136">
        <v>2</v>
      </c>
      <c r="AD136">
        <v>3</v>
      </c>
      <c r="AE136">
        <v>2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3</v>
      </c>
      <c r="AQ136" s="3">
        <v>-1</v>
      </c>
      <c r="AR136" s="3">
        <v>1</v>
      </c>
      <c r="AS136">
        <v>0</v>
      </c>
      <c r="AT136">
        <v>1</v>
      </c>
      <c r="AU136">
        <v>1</v>
      </c>
      <c r="AV136">
        <v>9</v>
      </c>
      <c r="AW136">
        <v>9</v>
      </c>
      <c r="AX136">
        <v>36</v>
      </c>
      <c r="AY136">
        <v>1</v>
      </c>
      <c r="AZ136">
        <v>48</v>
      </c>
      <c r="BA136">
        <v>1</v>
      </c>
      <c r="BB136">
        <v>20</v>
      </c>
      <c r="BC136">
        <v>10</v>
      </c>
      <c r="BD136">
        <v>8</v>
      </c>
      <c r="BE136" s="3">
        <v>1</v>
      </c>
      <c r="BF136">
        <v>1</v>
      </c>
      <c r="BG136">
        <v>0</v>
      </c>
    </row>
    <row r="137" spans="1:59" x14ac:dyDescent="0.2">
      <c r="A137" t="s">
        <v>687</v>
      </c>
      <c r="B137">
        <v>91.82</v>
      </c>
      <c r="C137">
        <v>3.72</v>
      </c>
      <c r="D137">
        <v>3424956</v>
      </c>
      <c r="E137" t="s">
        <v>688</v>
      </c>
      <c r="F137" t="s">
        <v>689</v>
      </c>
      <c r="G137" t="s">
        <v>325</v>
      </c>
      <c r="H137" t="s">
        <v>33</v>
      </c>
      <c r="I137" t="s">
        <v>909</v>
      </c>
      <c r="J137">
        <v>0</v>
      </c>
      <c r="K137">
        <v>0</v>
      </c>
      <c r="L137">
        <v>1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2</v>
      </c>
      <c r="X137">
        <v>0</v>
      </c>
      <c r="Y137">
        <v>2</v>
      </c>
      <c r="Z137">
        <v>3</v>
      </c>
      <c r="AA137">
        <v>0</v>
      </c>
      <c r="AB137">
        <v>2</v>
      </c>
      <c r="AC137">
        <v>1</v>
      </c>
      <c r="AD137">
        <v>1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</v>
      </c>
      <c r="AQ137" s="3">
        <v>0</v>
      </c>
      <c r="AR137" s="3">
        <v>1</v>
      </c>
      <c r="AS137">
        <v>0</v>
      </c>
      <c r="AT137">
        <v>3</v>
      </c>
      <c r="AU137">
        <v>0</v>
      </c>
      <c r="AV137">
        <v>5</v>
      </c>
      <c r="AW137">
        <v>6</v>
      </c>
      <c r="AX137">
        <v>34</v>
      </c>
      <c r="AY137">
        <v>1</v>
      </c>
      <c r="AZ137">
        <v>45</v>
      </c>
      <c r="BA137">
        <v>1</v>
      </c>
      <c r="BB137">
        <v>9</v>
      </c>
      <c r="BC137">
        <v>8</v>
      </c>
      <c r="BD137">
        <v>8</v>
      </c>
      <c r="BE137" s="3">
        <v>1</v>
      </c>
      <c r="BF137">
        <v>1</v>
      </c>
      <c r="BG137">
        <v>0</v>
      </c>
    </row>
    <row r="138" spans="1:59" x14ac:dyDescent="0.2">
      <c r="A138" t="s">
        <v>690</v>
      </c>
      <c r="B138">
        <v>93.29</v>
      </c>
      <c r="C138">
        <v>2.83</v>
      </c>
      <c r="D138">
        <v>2732279</v>
      </c>
      <c r="E138" t="s">
        <v>691</v>
      </c>
      <c r="F138" t="s">
        <v>444</v>
      </c>
      <c r="G138" t="s">
        <v>325</v>
      </c>
      <c r="H138" t="s">
        <v>35</v>
      </c>
      <c r="I138" t="s">
        <v>910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 s="3">
        <v>0</v>
      </c>
      <c r="AR138" s="3">
        <v>-1</v>
      </c>
      <c r="AS138">
        <v>1</v>
      </c>
      <c r="AT138">
        <v>0</v>
      </c>
      <c r="AU138">
        <v>0</v>
      </c>
      <c r="AV138">
        <v>3</v>
      </c>
      <c r="AW138">
        <v>2</v>
      </c>
      <c r="AX138">
        <v>14</v>
      </c>
      <c r="AY138">
        <v>0</v>
      </c>
      <c r="AZ138">
        <v>15</v>
      </c>
      <c r="BA138">
        <v>0</v>
      </c>
      <c r="BB138">
        <v>1</v>
      </c>
      <c r="BC138">
        <v>0</v>
      </c>
      <c r="BD138">
        <v>0</v>
      </c>
      <c r="BF138">
        <v>0</v>
      </c>
      <c r="BG138">
        <v>0</v>
      </c>
    </row>
    <row r="139" spans="1:59" x14ac:dyDescent="0.2">
      <c r="A139" t="s">
        <v>692</v>
      </c>
      <c r="B139">
        <v>95.48</v>
      </c>
      <c r="C139">
        <v>0.51</v>
      </c>
      <c r="D139">
        <v>4592583</v>
      </c>
      <c r="E139" t="s">
        <v>693</v>
      </c>
      <c r="F139" t="s">
        <v>450</v>
      </c>
      <c r="G139" t="s">
        <v>413</v>
      </c>
      <c r="H139" t="s">
        <v>260</v>
      </c>
      <c r="I139" t="s">
        <v>911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3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</v>
      </c>
      <c r="AQ139" s="3">
        <v>0</v>
      </c>
      <c r="AR139" s="3">
        <v>0</v>
      </c>
      <c r="AS139">
        <v>0</v>
      </c>
      <c r="AT139">
        <v>0</v>
      </c>
      <c r="AU139">
        <v>0</v>
      </c>
      <c r="AV139">
        <v>1</v>
      </c>
      <c r="AW139">
        <v>1</v>
      </c>
      <c r="AX139">
        <v>39</v>
      </c>
      <c r="AY139">
        <v>0</v>
      </c>
      <c r="AZ139">
        <v>51</v>
      </c>
      <c r="BA139">
        <v>0</v>
      </c>
      <c r="BB139">
        <v>3</v>
      </c>
      <c r="BC139">
        <v>6</v>
      </c>
      <c r="BD139">
        <v>5</v>
      </c>
      <c r="BF139">
        <v>0</v>
      </c>
      <c r="BG139">
        <v>0</v>
      </c>
    </row>
    <row r="140" spans="1:59" x14ac:dyDescent="0.2">
      <c r="A140" t="s">
        <v>694</v>
      </c>
      <c r="B140">
        <v>75.11</v>
      </c>
      <c r="C140">
        <v>8.26</v>
      </c>
      <c r="D140">
        <v>3156567</v>
      </c>
      <c r="E140" t="s">
        <v>609</v>
      </c>
      <c r="F140" t="s">
        <v>695</v>
      </c>
      <c r="G140" t="s">
        <v>434</v>
      </c>
      <c r="H140" t="s">
        <v>44</v>
      </c>
      <c r="I140" t="s">
        <v>912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s="3">
        <v>0</v>
      </c>
      <c r="AR140" s="3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21</v>
      </c>
      <c r="AY140">
        <v>1</v>
      </c>
      <c r="AZ140">
        <v>22</v>
      </c>
      <c r="BA140">
        <v>0</v>
      </c>
      <c r="BB140">
        <v>4</v>
      </c>
      <c r="BC140">
        <v>6</v>
      </c>
      <c r="BD140">
        <v>5</v>
      </c>
      <c r="BE140" s="3">
        <v>1</v>
      </c>
      <c r="BF140">
        <v>0</v>
      </c>
      <c r="BG140">
        <v>0</v>
      </c>
    </row>
    <row r="141" spans="1:59" x14ac:dyDescent="0.2">
      <c r="A141" t="s">
        <v>696</v>
      </c>
      <c r="B141">
        <v>79.48</v>
      </c>
      <c r="C141">
        <v>0</v>
      </c>
      <c r="D141">
        <v>7737317</v>
      </c>
      <c r="E141" t="s">
        <v>697</v>
      </c>
      <c r="F141" t="s">
        <v>631</v>
      </c>
      <c r="G141" t="s">
        <v>387</v>
      </c>
      <c r="H141" t="s">
        <v>43</v>
      </c>
      <c r="I141" t="s">
        <v>913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3</v>
      </c>
      <c r="AQ141" s="3">
        <v>0</v>
      </c>
      <c r="AR141" s="3">
        <v>-1</v>
      </c>
      <c r="AS141">
        <v>0</v>
      </c>
      <c r="AT141">
        <v>1</v>
      </c>
      <c r="AU141">
        <v>0</v>
      </c>
      <c r="AV141">
        <v>4</v>
      </c>
      <c r="AW141">
        <v>4</v>
      </c>
      <c r="AX141">
        <v>50</v>
      </c>
      <c r="AY141">
        <v>0</v>
      </c>
      <c r="AZ141">
        <v>51</v>
      </c>
      <c r="BA141">
        <v>0</v>
      </c>
      <c r="BB141">
        <v>15</v>
      </c>
      <c r="BC141">
        <v>5</v>
      </c>
      <c r="BD141">
        <v>6</v>
      </c>
      <c r="BF141">
        <v>1</v>
      </c>
      <c r="BG141">
        <v>0</v>
      </c>
    </row>
    <row r="142" spans="1:59" x14ac:dyDescent="0.2">
      <c r="A142" t="s">
        <v>698</v>
      </c>
      <c r="B142">
        <v>85.19</v>
      </c>
      <c r="C142">
        <v>5.31</v>
      </c>
      <c r="D142">
        <v>4897349</v>
      </c>
      <c r="E142" t="s">
        <v>449</v>
      </c>
      <c r="F142" t="s">
        <v>450</v>
      </c>
      <c r="G142" t="s">
        <v>413</v>
      </c>
      <c r="H142" t="s">
        <v>260</v>
      </c>
      <c r="I142" t="s">
        <v>914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3</v>
      </c>
      <c r="AQ142" s="3">
        <v>0</v>
      </c>
      <c r="AR142" s="3">
        <v>0</v>
      </c>
      <c r="AS142">
        <v>1</v>
      </c>
      <c r="AT142">
        <v>0</v>
      </c>
      <c r="AU142">
        <v>0</v>
      </c>
      <c r="AV142">
        <v>3</v>
      </c>
      <c r="AW142">
        <v>3</v>
      </c>
      <c r="AX142">
        <v>39</v>
      </c>
      <c r="AY142">
        <v>0</v>
      </c>
      <c r="AZ142">
        <v>48</v>
      </c>
      <c r="BA142">
        <v>0</v>
      </c>
      <c r="BB142">
        <v>10</v>
      </c>
      <c r="BC142">
        <v>2</v>
      </c>
      <c r="BD142">
        <v>2</v>
      </c>
      <c r="BF142">
        <v>0</v>
      </c>
      <c r="BG142">
        <v>0</v>
      </c>
    </row>
    <row r="143" spans="1:59" x14ac:dyDescent="0.2">
      <c r="A143" t="s">
        <v>699</v>
      </c>
      <c r="B143">
        <v>96.35</v>
      </c>
      <c r="C143">
        <v>2.94</v>
      </c>
      <c r="D143">
        <v>3009209</v>
      </c>
      <c r="E143" t="s">
        <v>700</v>
      </c>
      <c r="F143" t="s">
        <v>701</v>
      </c>
      <c r="G143" t="s">
        <v>325</v>
      </c>
      <c r="H143" t="s">
        <v>40</v>
      </c>
      <c r="I143" t="s">
        <v>915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 s="3">
        <v>0</v>
      </c>
      <c r="AR143" s="3">
        <v>-1</v>
      </c>
      <c r="AS143">
        <v>0</v>
      </c>
      <c r="AT143">
        <v>0</v>
      </c>
      <c r="AU143">
        <v>0</v>
      </c>
      <c r="AV143">
        <v>3</v>
      </c>
      <c r="AW143">
        <v>2</v>
      </c>
      <c r="AX143">
        <v>16</v>
      </c>
      <c r="AY143">
        <v>0</v>
      </c>
      <c r="AZ143">
        <v>24</v>
      </c>
      <c r="BA143">
        <v>0</v>
      </c>
      <c r="BB143">
        <v>7</v>
      </c>
      <c r="BC143">
        <v>2</v>
      </c>
      <c r="BD143">
        <v>2</v>
      </c>
      <c r="BF143">
        <v>0</v>
      </c>
      <c r="BG143">
        <v>0</v>
      </c>
    </row>
    <row r="144" spans="1:59" x14ac:dyDescent="0.2">
      <c r="A144" t="s">
        <v>702</v>
      </c>
      <c r="B144">
        <v>87.72</v>
      </c>
      <c r="C144">
        <v>5.25</v>
      </c>
      <c r="D144">
        <v>2535221</v>
      </c>
      <c r="E144" t="s">
        <v>452</v>
      </c>
      <c r="F144" t="s">
        <v>453</v>
      </c>
      <c r="G144" t="s">
        <v>333</v>
      </c>
      <c r="H144" t="s">
        <v>332</v>
      </c>
      <c r="I144" t="s">
        <v>916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</v>
      </c>
      <c r="AQ144" s="3">
        <v>0</v>
      </c>
      <c r="AR144" s="3">
        <v>0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11</v>
      </c>
      <c r="AY144">
        <v>1</v>
      </c>
      <c r="AZ144">
        <v>12</v>
      </c>
      <c r="BA144">
        <v>0</v>
      </c>
      <c r="BB144">
        <v>7</v>
      </c>
      <c r="BC144">
        <v>12</v>
      </c>
      <c r="BD144">
        <v>11</v>
      </c>
      <c r="BE144" s="3">
        <v>1</v>
      </c>
      <c r="BF144">
        <v>0</v>
      </c>
      <c r="BG144">
        <v>0</v>
      </c>
    </row>
    <row r="145" spans="1:59" x14ac:dyDescent="0.2">
      <c r="A145" t="s">
        <v>703</v>
      </c>
      <c r="B145">
        <v>80.45</v>
      </c>
      <c r="C145">
        <v>4.55</v>
      </c>
      <c r="D145">
        <v>2698253</v>
      </c>
      <c r="E145" t="s">
        <v>704</v>
      </c>
      <c r="F145" t="s">
        <v>634</v>
      </c>
      <c r="G145" t="s">
        <v>392</v>
      </c>
      <c r="H145" t="s">
        <v>263</v>
      </c>
      <c r="I145" t="s">
        <v>917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s="3">
        <v>0</v>
      </c>
      <c r="AR145" s="3">
        <v>0</v>
      </c>
      <c r="AS145">
        <v>0</v>
      </c>
      <c r="AT145">
        <v>1</v>
      </c>
      <c r="AU145">
        <v>0</v>
      </c>
      <c r="AV145">
        <v>2</v>
      </c>
      <c r="AW145">
        <v>3</v>
      </c>
      <c r="AX145">
        <v>15</v>
      </c>
      <c r="AY145">
        <v>0</v>
      </c>
      <c r="AZ145">
        <v>20</v>
      </c>
      <c r="BA145">
        <v>0</v>
      </c>
      <c r="BB145">
        <v>4</v>
      </c>
      <c r="BC145">
        <v>15</v>
      </c>
      <c r="BD145">
        <v>14</v>
      </c>
      <c r="BF145">
        <v>0</v>
      </c>
      <c r="BG145">
        <v>0</v>
      </c>
    </row>
    <row r="146" spans="1:59" x14ac:dyDescent="0.2">
      <c r="A146" t="s">
        <v>705</v>
      </c>
      <c r="B146">
        <v>77.680000000000007</v>
      </c>
      <c r="C146">
        <v>2.41</v>
      </c>
      <c r="D146">
        <v>3099952</v>
      </c>
      <c r="E146" t="s">
        <v>706</v>
      </c>
      <c r="F146" t="s">
        <v>707</v>
      </c>
      <c r="G146" t="s">
        <v>325</v>
      </c>
      <c r="H146" t="s">
        <v>33</v>
      </c>
      <c r="I146" t="s">
        <v>918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2</v>
      </c>
      <c r="AA146">
        <v>0</v>
      </c>
      <c r="AB146">
        <v>0</v>
      </c>
      <c r="AC146">
        <v>1</v>
      </c>
      <c r="AD146">
        <v>1</v>
      </c>
      <c r="AE146">
        <v>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2</v>
      </c>
      <c r="AQ146" s="3">
        <v>-1</v>
      </c>
      <c r="AR146" s="3">
        <v>1</v>
      </c>
      <c r="AS146">
        <v>0</v>
      </c>
      <c r="AT146">
        <v>3</v>
      </c>
      <c r="AU146">
        <v>1</v>
      </c>
      <c r="AV146">
        <v>6</v>
      </c>
      <c r="AW146">
        <v>7</v>
      </c>
      <c r="AX146">
        <v>38</v>
      </c>
      <c r="AY146">
        <v>0</v>
      </c>
      <c r="AZ146">
        <v>46</v>
      </c>
      <c r="BA146">
        <v>1</v>
      </c>
      <c r="BB146">
        <v>12</v>
      </c>
      <c r="BC146">
        <v>12</v>
      </c>
      <c r="BD146">
        <v>11</v>
      </c>
      <c r="BF146">
        <v>1</v>
      </c>
      <c r="BG146">
        <v>0</v>
      </c>
    </row>
    <row r="147" spans="1:59" x14ac:dyDescent="0.2">
      <c r="A147" t="s">
        <v>708</v>
      </c>
      <c r="B147">
        <v>85.07</v>
      </c>
      <c r="C147">
        <v>9.33</v>
      </c>
      <c r="D147">
        <v>3869154</v>
      </c>
      <c r="E147" t="s">
        <v>709</v>
      </c>
      <c r="F147" t="s">
        <v>710</v>
      </c>
      <c r="G147" t="s">
        <v>325</v>
      </c>
      <c r="H147" t="s">
        <v>31</v>
      </c>
      <c r="I147" t="s">
        <v>919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2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6</v>
      </c>
      <c r="AQ147" s="3">
        <v>0</v>
      </c>
      <c r="AR147" s="3">
        <v>-1</v>
      </c>
      <c r="AS147">
        <v>2</v>
      </c>
      <c r="AT147">
        <v>0</v>
      </c>
      <c r="AU147">
        <v>0</v>
      </c>
      <c r="AV147">
        <v>2</v>
      </c>
      <c r="AW147">
        <v>2</v>
      </c>
      <c r="AX147">
        <v>30</v>
      </c>
      <c r="AY147">
        <v>1</v>
      </c>
      <c r="AZ147">
        <v>34</v>
      </c>
      <c r="BA147">
        <v>1</v>
      </c>
      <c r="BB147">
        <v>11</v>
      </c>
      <c r="BC147">
        <v>10</v>
      </c>
      <c r="BD147">
        <v>9</v>
      </c>
      <c r="BE147" s="3">
        <v>1</v>
      </c>
      <c r="BF147">
        <v>0</v>
      </c>
      <c r="BG147">
        <v>0</v>
      </c>
    </row>
    <row r="148" spans="1:59" x14ac:dyDescent="0.2">
      <c r="A148" t="s">
        <v>711</v>
      </c>
      <c r="B148">
        <v>83.6</v>
      </c>
      <c r="C148">
        <v>2.41</v>
      </c>
      <c r="D148">
        <v>3520395</v>
      </c>
      <c r="E148" t="s">
        <v>382</v>
      </c>
      <c r="F148" t="s">
        <v>444</v>
      </c>
      <c r="G148" t="s">
        <v>325</v>
      </c>
      <c r="H148" t="s">
        <v>32</v>
      </c>
      <c r="I148" t="s">
        <v>920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2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1</v>
      </c>
      <c r="AM148">
        <v>0</v>
      </c>
      <c r="AN148">
        <v>0</v>
      </c>
      <c r="AO148">
        <v>0</v>
      </c>
      <c r="AP148">
        <v>3</v>
      </c>
      <c r="AQ148" s="3">
        <v>1</v>
      </c>
      <c r="AR148" s="3">
        <v>-1</v>
      </c>
      <c r="AS148">
        <v>1</v>
      </c>
      <c r="AT148">
        <v>0</v>
      </c>
      <c r="AU148">
        <v>0</v>
      </c>
      <c r="AV148">
        <v>2</v>
      </c>
      <c r="AW148">
        <v>2</v>
      </c>
      <c r="AX148">
        <v>46</v>
      </c>
      <c r="AY148">
        <v>0</v>
      </c>
      <c r="AZ148">
        <v>54</v>
      </c>
      <c r="BA148">
        <v>0</v>
      </c>
      <c r="BB148">
        <v>11</v>
      </c>
      <c r="BC148">
        <v>9</v>
      </c>
      <c r="BD148">
        <v>9</v>
      </c>
      <c r="BF148">
        <v>0</v>
      </c>
      <c r="BG148">
        <v>0</v>
      </c>
    </row>
    <row r="149" spans="1:59" x14ac:dyDescent="0.2">
      <c r="A149" t="s">
        <v>712</v>
      </c>
      <c r="B149">
        <v>79.87</v>
      </c>
      <c r="C149">
        <v>3.97</v>
      </c>
      <c r="D149">
        <v>4094882</v>
      </c>
      <c r="E149" t="s">
        <v>713</v>
      </c>
      <c r="F149" t="s">
        <v>713</v>
      </c>
      <c r="G149" t="s">
        <v>325</v>
      </c>
      <c r="H149" t="s">
        <v>35</v>
      </c>
      <c r="I149" t="s">
        <v>921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 s="3">
        <v>0</v>
      </c>
      <c r="AR149" s="3">
        <v>-1</v>
      </c>
      <c r="AS149">
        <v>0</v>
      </c>
      <c r="AT149">
        <v>0</v>
      </c>
      <c r="AU149">
        <v>0</v>
      </c>
      <c r="AV149">
        <v>3</v>
      </c>
      <c r="AW149">
        <v>3</v>
      </c>
      <c r="AX149">
        <v>26</v>
      </c>
      <c r="AY149">
        <v>0</v>
      </c>
      <c r="AZ149">
        <v>30</v>
      </c>
      <c r="BA149">
        <v>0</v>
      </c>
      <c r="BB149">
        <v>1</v>
      </c>
      <c r="BC149">
        <v>5</v>
      </c>
      <c r="BD149">
        <v>5</v>
      </c>
      <c r="BF149">
        <v>0</v>
      </c>
      <c r="BG149">
        <v>0</v>
      </c>
    </row>
    <row r="150" spans="1:59" x14ac:dyDescent="0.2">
      <c r="A150" t="s">
        <v>714</v>
      </c>
      <c r="B150">
        <v>84.48</v>
      </c>
      <c r="C150">
        <v>5.8</v>
      </c>
      <c r="D150">
        <v>6685293</v>
      </c>
      <c r="E150" t="s">
        <v>715</v>
      </c>
      <c r="F150" t="s">
        <v>455</v>
      </c>
      <c r="G150" t="s">
        <v>434</v>
      </c>
      <c r="H150" t="s">
        <v>716</v>
      </c>
      <c r="I150" t="s">
        <v>922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7</v>
      </c>
      <c r="AQ150" s="3">
        <v>0</v>
      </c>
      <c r="AR150" s="3">
        <v>0</v>
      </c>
      <c r="AS150">
        <v>0</v>
      </c>
      <c r="AT150">
        <v>0</v>
      </c>
      <c r="AU150">
        <v>0</v>
      </c>
      <c r="AV150">
        <v>6</v>
      </c>
      <c r="AW150">
        <v>6</v>
      </c>
      <c r="AX150">
        <v>38</v>
      </c>
      <c r="AY150">
        <v>1</v>
      </c>
      <c r="AZ150">
        <v>43</v>
      </c>
      <c r="BA150">
        <v>0</v>
      </c>
      <c r="BB150">
        <v>11</v>
      </c>
      <c r="BC150">
        <v>13</v>
      </c>
      <c r="BD150">
        <v>11</v>
      </c>
      <c r="BE150" s="3">
        <v>1</v>
      </c>
      <c r="BF150">
        <v>0</v>
      </c>
      <c r="BG150">
        <v>0</v>
      </c>
    </row>
    <row r="151" spans="1:59" x14ac:dyDescent="0.2">
      <c r="A151" t="s">
        <v>717</v>
      </c>
      <c r="B151">
        <v>95.14</v>
      </c>
      <c r="C151">
        <v>0.65</v>
      </c>
      <c r="D151">
        <v>3212867</v>
      </c>
      <c r="E151" t="s">
        <v>718</v>
      </c>
      <c r="F151" t="s">
        <v>719</v>
      </c>
      <c r="G151" t="s">
        <v>413</v>
      </c>
      <c r="H151" t="s">
        <v>260</v>
      </c>
      <c r="I151" t="s">
        <v>923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</v>
      </c>
      <c r="AQ151" s="3">
        <v>0</v>
      </c>
      <c r="AR151" s="3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39</v>
      </c>
      <c r="AY151">
        <v>0</v>
      </c>
      <c r="AZ151">
        <v>47</v>
      </c>
      <c r="BA151">
        <v>0</v>
      </c>
      <c r="BB151">
        <v>0</v>
      </c>
      <c r="BC151">
        <v>10</v>
      </c>
      <c r="BD151">
        <v>8</v>
      </c>
      <c r="BF151">
        <v>0</v>
      </c>
      <c r="BG151">
        <v>0</v>
      </c>
    </row>
    <row r="152" spans="1:59" x14ac:dyDescent="0.2">
      <c r="A152" t="s">
        <v>720</v>
      </c>
      <c r="B152">
        <v>73.92</v>
      </c>
      <c r="C152">
        <v>4.07</v>
      </c>
      <c r="D152">
        <v>1634106</v>
      </c>
      <c r="E152" t="s">
        <v>534</v>
      </c>
      <c r="F152" t="s">
        <v>535</v>
      </c>
      <c r="G152" t="s">
        <v>377</v>
      </c>
      <c r="H152" t="s">
        <v>376</v>
      </c>
      <c r="I152" t="s">
        <v>924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 s="3">
        <v>0</v>
      </c>
      <c r="AR152" s="3">
        <v>0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13</v>
      </c>
      <c r="AY152">
        <v>0</v>
      </c>
      <c r="AZ152">
        <v>16</v>
      </c>
      <c r="BA152">
        <v>0</v>
      </c>
      <c r="BB152">
        <v>5</v>
      </c>
      <c r="BC152">
        <v>0</v>
      </c>
      <c r="BD152">
        <v>0</v>
      </c>
      <c r="BF152">
        <v>0</v>
      </c>
      <c r="BG152">
        <v>0</v>
      </c>
    </row>
    <row r="153" spans="1:59" x14ac:dyDescent="0.2">
      <c r="A153" t="s">
        <v>721</v>
      </c>
      <c r="B153">
        <v>86.75</v>
      </c>
      <c r="C153">
        <v>5.49</v>
      </c>
      <c r="D153">
        <v>3532746</v>
      </c>
      <c r="E153" t="s">
        <v>722</v>
      </c>
      <c r="F153" t="s">
        <v>518</v>
      </c>
      <c r="G153" t="s">
        <v>496</v>
      </c>
      <c r="H153" t="s">
        <v>42</v>
      </c>
      <c r="I153" t="s">
        <v>925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1</v>
      </c>
      <c r="AN153">
        <v>0</v>
      </c>
      <c r="AO153">
        <v>0</v>
      </c>
      <c r="AP153">
        <v>4</v>
      </c>
      <c r="AQ153" s="3">
        <v>0</v>
      </c>
      <c r="AR153" s="3">
        <v>-1</v>
      </c>
      <c r="AS153">
        <v>2</v>
      </c>
      <c r="AT153">
        <v>0</v>
      </c>
      <c r="AU153">
        <v>0</v>
      </c>
      <c r="AV153">
        <v>2</v>
      </c>
      <c r="AW153">
        <v>2</v>
      </c>
      <c r="AX153">
        <v>22</v>
      </c>
      <c r="AY153">
        <v>3</v>
      </c>
      <c r="AZ153">
        <v>27</v>
      </c>
      <c r="BA153">
        <v>2</v>
      </c>
      <c r="BB153">
        <v>7</v>
      </c>
      <c r="BC153">
        <v>4</v>
      </c>
      <c r="BD153">
        <v>4</v>
      </c>
      <c r="BE153" s="3">
        <v>1</v>
      </c>
      <c r="BF153">
        <v>0</v>
      </c>
      <c r="BG153">
        <v>0</v>
      </c>
    </row>
    <row r="154" spans="1:59" x14ac:dyDescent="0.2">
      <c r="A154" t="s">
        <v>723</v>
      </c>
      <c r="B154">
        <v>96.55</v>
      </c>
      <c r="C154">
        <v>5.17</v>
      </c>
      <c r="D154">
        <v>3704924</v>
      </c>
      <c r="E154" t="s">
        <v>382</v>
      </c>
      <c r="F154" t="s">
        <v>724</v>
      </c>
      <c r="G154" t="s">
        <v>325</v>
      </c>
      <c r="H154" t="s">
        <v>32</v>
      </c>
      <c r="I154" t="s">
        <v>926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1</v>
      </c>
      <c r="AE154">
        <v>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5</v>
      </c>
      <c r="AQ154" s="3">
        <v>0</v>
      </c>
      <c r="AR154" s="3">
        <v>-1</v>
      </c>
      <c r="AS154">
        <v>1</v>
      </c>
      <c r="AT154">
        <v>0</v>
      </c>
      <c r="AU154">
        <v>0</v>
      </c>
      <c r="AV154">
        <v>5</v>
      </c>
      <c r="AW154">
        <v>7</v>
      </c>
      <c r="AX154">
        <v>47</v>
      </c>
      <c r="AY154">
        <v>1</v>
      </c>
      <c r="AZ154">
        <v>51</v>
      </c>
      <c r="BA154">
        <v>0</v>
      </c>
      <c r="BB154">
        <v>9</v>
      </c>
      <c r="BC154">
        <v>9</v>
      </c>
      <c r="BD154">
        <v>8</v>
      </c>
      <c r="BE154" s="3">
        <v>1</v>
      </c>
      <c r="BF154">
        <v>0</v>
      </c>
      <c r="BG154">
        <v>0</v>
      </c>
    </row>
    <row r="155" spans="1:59" x14ac:dyDescent="0.2">
      <c r="A155" t="s">
        <v>725</v>
      </c>
      <c r="B155">
        <v>98.65</v>
      </c>
      <c r="C155">
        <v>2.78</v>
      </c>
      <c r="D155">
        <v>4107456</v>
      </c>
      <c r="E155" t="s">
        <v>726</v>
      </c>
      <c r="F155" t="s">
        <v>727</v>
      </c>
      <c r="G155" t="s">
        <v>459</v>
      </c>
      <c r="H155" t="s">
        <v>288</v>
      </c>
      <c r="I155" t="s">
        <v>927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 s="3">
        <v>0</v>
      </c>
      <c r="AR155" s="3">
        <v>0</v>
      </c>
      <c r="AS155">
        <v>0</v>
      </c>
      <c r="AT155">
        <v>0</v>
      </c>
      <c r="AU155">
        <v>0</v>
      </c>
      <c r="AV155">
        <v>3</v>
      </c>
      <c r="AW155">
        <v>3</v>
      </c>
      <c r="AX155">
        <v>26</v>
      </c>
      <c r="AY155">
        <v>0</v>
      </c>
      <c r="AZ155">
        <v>33</v>
      </c>
      <c r="BA155">
        <v>0</v>
      </c>
      <c r="BB155">
        <v>6</v>
      </c>
      <c r="BC155">
        <v>0</v>
      </c>
      <c r="BD155">
        <v>0</v>
      </c>
      <c r="BF155">
        <v>0</v>
      </c>
      <c r="BG155">
        <v>0</v>
      </c>
    </row>
    <row r="156" spans="1:59" x14ac:dyDescent="0.2">
      <c r="A156" t="s">
        <v>728</v>
      </c>
      <c r="B156">
        <v>88.04</v>
      </c>
      <c r="C156">
        <v>2.5</v>
      </c>
      <c r="D156">
        <v>3329182</v>
      </c>
      <c r="E156" t="s">
        <v>729</v>
      </c>
      <c r="F156" t="s">
        <v>730</v>
      </c>
      <c r="G156" t="s">
        <v>325</v>
      </c>
      <c r="H156" t="s">
        <v>41</v>
      </c>
      <c r="I156" t="s">
        <v>928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2</v>
      </c>
      <c r="AA156">
        <v>1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</v>
      </c>
      <c r="AQ156" s="3">
        <v>0</v>
      </c>
      <c r="AR156" s="3">
        <v>-1</v>
      </c>
      <c r="AS156">
        <v>0</v>
      </c>
      <c r="AT156">
        <v>0</v>
      </c>
      <c r="AU156">
        <v>0</v>
      </c>
      <c r="AV156">
        <v>5</v>
      </c>
      <c r="AW156">
        <v>5</v>
      </c>
      <c r="AX156">
        <v>21</v>
      </c>
      <c r="AY156">
        <v>0</v>
      </c>
      <c r="AZ156">
        <v>30</v>
      </c>
      <c r="BA156">
        <v>0</v>
      </c>
      <c r="BB156">
        <v>12</v>
      </c>
      <c r="BC156">
        <v>3</v>
      </c>
      <c r="BD156">
        <v>2</v>
      </c>
      <c r="BF156">
        <v>0</v>
      </c>
      <c r="BG156">
        <v>0</v>
      </c>
    </row>
    <row r="157" spans="1:59" x14ac:dyDescent="0.2">
      <c r="A157" t="s">
        <v>731</v>
      </c>
      <c r="B157">
        <v>93.05</v>
      </c>
      <c r="C157">
        <v>2.71</v>
      </c>
      <c r="D157">
        <v>4728212</v>
      </c>
      <c r="E157" t="s">
        <v>348</v>
      </c>
      <c r="F157" t="s">
        <v>349</v>
      </c>
      <c r="G157" t="s">
        <v>325</v>
      </c>
      <c r="H157" t="s">
        <v>207</v>
      </c>
      <c r="I157" t="s">
        <v>929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1</v>
      </c>
      <c r="Z157">
        <v>2</v>
      </c>
      <c r="AA157">
        <v>0</v>
      </c>
      <c r="AB157">
        <v>1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</v>
      </c>
      <c r="AQ157" s="3">
        <v>0</v>
      </c>
      <c r="AR157" s="3">
        <v>-1</v>
      </c>
      <c r="AS157">
        <v>0</v>
      </c>
      <c r="AT157">
        <v>0</v>
      </c>
      <c r="AU157">
        <v>0</v>
      </c>
      <c r="AV157">
        <v>4</v>
      </c>
      <c r="AW157">
        <v>4</v>
      </c>
      <c r="AX157">
        <v>37</v>
      </c>
      <c r="AY157">
        <v>0</v>
      </c>
      <c r="AZ157">
        <v>40</v>
      </c>
      <c r="BA157">
        <v>0</v>
      </c>
      <c r="BB157">
        <v>17</v>
      </c>
      <c r="BC157">
        <v>6</v>
      </c>
      <c r="BD157">
        <v>6</v>
      </c>
      <c r="BF157">
        <v>0</v>
      </c>
      <c r="BG157">
        <v>0</v>
      </c>
    </row>
    <row r="158" spans="1:59" x14ac:dyDescent="0.2">
      <c r="A158" t="s">
        <v>732</v>
      </c>
      <c r="B158">
        <v>71.47</v>
      </c>
      <c r="C158">
        <v>1.44</v>
      </c>
      <c r="D158">
        <v>2860085</v>
      </c>
      <c r="E158" t="s">
        <v>733</v>
      </c>
      <c r="F158" t="s">
        <v>734</v>
      </c>
      <c r="G158" t="s">
        <v>325</v>
      </c>
      <c r="H158" t="s">
        <v>207</v>
      </c>
      <c r="I158" t="s">
        <v>930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2</v>
      </c>
      <c r="AQ158" s="3">
        <v>0</v>
      </c>
      <c r="AR158" s="3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11</v>
      </c>
      <c r="AY158">
        <v>0</v>
      </c>
      <c r="AZ158">
        <v>20</v>
      </c>
      <c r="BA158">
        <v>0</v>
      </c>
      <c r="BB158">
        <v>6</v>
      </c>
      <c r="BC158">
        <v>0</v>
      </c>
      <c r="BD158">
        <v>0</v>
      </c>
      <c r="BF158">
        <v>0</v>
      </c>
      <c r="BG158">
        <v>0</v>
      </c>
    </row>
    <row r="159" spans="1:59" x14ac:dyDescent="0.2">
      <c r="A159" t="s">
        <v>735</v>
      </c>
      <c r="B159">
        <v>84.29</v>
      </c>
      <c r="C159">
        <v>7.33</v>
      </c>
      <c r="D159">
        <v>2453585</v>
      </c>
      <c r="E159" t="s">
        <v>368</v>
      </c>
      <c r="F159" t="s">
        <v>369</v>
      </c>
      <c r="G159" t="s">
        <v>325</v>
      </c>
      <c r="H159" t="s">
        <v>207</v>
      </c>
      <c r="I159" t="s">
        <v>931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4</v>
      </c>
      <c r="AQ159" s="3">
        <v>0</v>
      </c>
      <c r="AR159" s="3">
        <v>-1</v>
      </c>
      <c r="AS159">
        <v>0</v>
      </c>
      <c r="AT159">
        <v>0</v>
      </c>
      <c r="AU159">
        <v>0</v>
      </c>
      <c r="AV159">
        <v>2</v>
      </c>
      <c r="AW159">
        <v>1</v>
      </c>
      <c r="AX159">
        <v>14</v>
      </c>
      <c r="AY159">
        <v>0</v>
      </c>
      <c r="AZ159">
        <v>14</v>
      </c>
      <c r="BA159">
        <v>0</v>
      </c>
      <c r="BB159">
        <v>10</v>
      </c>
      <c r="BC159">
        <v>4</v>
      </c>
      <c r="BD159">
        <v>3</v>
      </c>
      <c r="BF159">
        <v>0</v>
      </c>
      <c r="BG159">
        <v>0</v>
      </c>
    </row>
    <row r="160" spans="1:59" x14ac:dyDescent="0.2">
      <c r="A160" t="s">
        <v>736</v>
      </c>
      <c r="B160">
        <v>84.63</v>
      </c>
      <c r="C160">
        <v>5.38</v>
      </c>
      <c r="D160">
        <v>2880185</v>
      </c>
      <c r="E160" t="s">
        <v>737</v>
      </c>
      <c r="F160" t="s">
        <v>738</v>
      </c>
      <c r="G160" t="s">
        <v>325</v>
      </c>
      <c r="H160" t="s">
        <v>545</v>
      </c>
      <c r="I160" t="s">
        <v>932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2</v>
      </c>
      <c r="AD160">
        <v>1</v>
      </c>
      <c r="AE160">
        <v>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3</v>
      </c>
      <c r="AQ160" s="3">
        <v>0</v>
      </c>
      <c r="AR160" s="3">
        <v>1</v>
      </c>
      <c r="AS160">
        <v>0</v>
      </c>
      <c r="AT160">
        <v>0</v>
      </c>
      <c r="AU160">
        <v>0</v>
      </c>
      <c r="AV160">
        <v>2</v>
      </c>
      <c r="AW160">
        <v>2</v>
      </c>
      <c r="AX160">
        <v>21</v>
      </c>
      <c r="AY160">
        <v>0</v>
      </c>
      <c r="AZ160">
        <v>24</v>
      </c>
      <c r="BA160">
        <v>0</v>
      </c>
      <c r="BB160">
        <v>9</v>
      </c>
      <c r="BC160">
        <v>4</v>
      </c>
      <c r="BD160">
        <v>3</v>
      </c>
      <c r="BF160">
        <v>0</v>
      </c>
      <c r="BG160">
        <v>1</v>
      </c>
    </row>
    <row r="161" spans="1:59" x14ac:dyDescent="0.2">
      <c r="A161" t="s">
        <v>739</v>
      </c>
      <c r="B161">
        <v>70.69</v>
      </c>
      <c r="C161">
        <v>6.03</v>
      </c>
      <c r="D161">
        <v>3913953</v>
      </c>
      <c r="E161" t="s">
        <v>740</v>
      </c>
      <c r="F161" t="s">
        <v>741</v>
      </c>
      <c r="G161" t="s">
        <v>325</v>
      </c>
      <c r="H161" t="s">
        <v>207</v>
      </c>
      <c r="I161" t="s">
        <v>933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4</v>
      </c>
      <c r="AQ161" s="3">
        <v>1</v>
      </c>
      <c r="AR161" s="3">
        <v>-1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22</v>
      </c>
      <c r="AY161">
        <v>0</v>
      </c>
      <c r="AZ161">
        <v>26</v>
      </c>
      <c r="BA161">
        <v>0</v>
      </c>
      <c r="BB161">
        <v>9</v>
      </c>
      <c r="BC161">
        <v>2</v>
      </c>
      <c r="BD161">
        <v>3</v>
      </c>
      <c r="BF161">
        <v>0</v>
      </c>
      <c r="BG161">
        <v>0</v>
      </c>
    </row>
    <row r="162" spans="1:59" x14ac:dyDescent="0.2">
      <c r="A162" t="s">
        <v>742</v>
      </c>
      <c r="B162">
        <v>84.17</v>
      </c>
      <c r="C162">
        <v>4.51</v>
      </c>
      <c r="D162">
        <v>2462146</v>
      </c>
      <c r="E162" t="s">
        <v>743</v>
      </c>
      <c r="F162" t="s">
        <v>743</v>
      </c>
      <c r="G162" t="s">
        <v>403</v>
      </c>
      <c r="H162" t="s">
        <v>284</v>
      </c>
      <c r="I162" t="s">
        <v>934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4</v>
      </c>
      <c r="AQ162" s="3">
        <v>0</v>
      </c>
      <c r="AR162" s="3">
        <v>0</v>
      </c>
      <c r="AS162">
        <v>0</v>
      </c>
      <c r="AT162">
        <v>0</v>
      </c>
      <c r="AU162">
        <v>0</v>
      </c>
      <c r="AV162">
        <v>5</v>
      </c>
      <c r="AW162">
        <v>5</v>
      </c>
      <c r="AX162">
        <v>30</v>
      </c>
      <c r="AY162">
        <v>0</v>
      </c>
      <c r="AZ162">
        <v>31</v>
      </c>
      <c r="BA162">
        <v>1</v>
      </c>
      <c r="BB162">
        <v>12</v>
      </c>
      <c r="BC162">
        <v>7</v>
      </c>
      <c r="BD162">
        <v>5</v>
      </c>
      <c r="BF162">
        <v>0</v>
      </c>
      <c r="BG162">
        <v>1</v>
      </c>
    </row>
    <row r="163" spans="1:59" x14ac:dyDescent="0.2">
      <c r="A163" t="s">
        <v>744</v>
      </c>
      <c r="B163">
        <v>72.680000000000007</v>
      </c>
      <c r="C163">
        <v>3.96</v>
      </c>
      <c r="D163">
        <v>2696413</v>
      </c>
      <c r="E163" t="s">
        <v>745</v>
      </c>
      <c r="F163" t="s">
        <v>746</v>
      </c>
      <c r="G163" t="s">
        <v>325</v>
      </c>
      <c r="H163" t="s">
        <v>33</v>
      </c>
      <c r="I163" t="s">
        <v>935</v>
      </c>
      <c r="J163">
        <v>0</v>
      </c>
      <c r="K163">
        <v>0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 s="3">
        <v>1</v>
      </c>
      <c r="AR163" s="3">
        <v>0</v>
      </c>
      <c r="AS163">
        <v>1</v>
      </c>
      <c r="AT163">
        <v>0</v>
      </c>
      <c r="AU163">
        <v>0</v>
      </c>
      <c r="AV163">
        <v>3</v>
      </c>
      <c r="AW163">
        <v>3</v>
      </c>
      <c r="AX163">
        <v>32</v>
      </c>
      <c r="AY163">
        <v>1</v>
      </c>
      <c r="AZ163">
        <v>36</v>
      </c>
      <c r="BA163">
        <v>1</v>
      </c>
      <c r="BB163">
        <v>17</v>
      </c>
      <c r="BC163">
        <v>8</v>
      </c>
      <c r="BD163">
        <v>7</v>
      </c>
      <c r="BE163" s="3">
        <v>1</v>
      </c>
      <c r="BF163">
        <v>1</v>
      </c>
      <c r="BG163">
        <v>1</v>
      </c>
    </row>
    <row r="164" spans="1:59" x14ac:dyDescent="0.2">
      <c r="A164" t="s">
        <v>747</v>
      </c>
      <c r="B164">
        <v>95.42</v>
      </c>
      <c r="C164">
        <v>2.79</v>
      </c>
      <c r="D164">
        <v>3621400</v>
      </c>
      <c r="E164" t="s">
        <v>748</v>
      </c>
      <c r="F164" t="s">
        <v>749</v>
      </c>
      <c r="G164" t="s">
        <v>325</v>
      </c>
      <c r="H164" t="s">
        <v>40</v>
      </c>
      <c r="I164" t="s">
        <v>936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1</v>
      </c>
      <c r="Z164">
        <v>1</v>
      </c>
      <c r="AA164">
        <v>1</v>
      </c>
      <c r="AB164">
        <v>2</v>
      </c>
      <c r="AC164">
        <v>0</v>
      </c>
      <c r="AD164">
        <v>2</v>
      </c>
      <c r="AE164">
        <v>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2</v>
      </c>
      <c r="AQ164" s="3">
        <v>0</v>
      </c>
      <c r="AR164" s="3">
        <v>-1</v>
      </c>
      <c r="AS164">
        <v>0</v>
      </c>
      <c r="AT164">
        <v>0</v>
      </c>
      <c r="AU164">
        <v>0</v>
      </c>
      <c r="AV164">
        <v>7</v>
      </c>
      <c r="AW164">
        <v>7</v>
      </c>
      <c r="AX164">
        <v>28</v>
      </c>
      <c r="AY164">
        <v>0</v>
      </c>
      <c r="AZ164">
        <v>31</v>
      </c>
      <c r="BA164">
        <v>0</v>
      </c>
      <c r="BB164">
        <v>12</v>
      </c>
      <c r="BC164">
        <v>4</v>
      </c>
      <c r="BD164">
        <v>4</v>
      </c>
      <c r="BF164">
        <v>0</v>
      </c>
      <c r="BG164">
        <v>1</v>
      </c>
    </row>
    <row r="165" spans="1:59" x14ac:dyDescent="0.2">
      <c r="A165" t="s">
        <v>750</v>
      </c>
      <c r="B165">
        <v>84.23</v>
      </c>
      <c r="C165">
        <v>1.22</v>
      </c>
      <c r="D165">
        <v>2389666</v>
      </c>
      <c r="E165" t="s">
        <v>751</v>
      </c>
      <c r="F165" t="s">
        <v>752</v>
      </c>
      <c r="G165" t="s">
        <v>377</v>
      </c>
      <c r="H165" t="s">
        <v>376</v>
      </c>
      <c r="I165" t="s">
        <v>937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3</v>
      </c>
      <c r="AQ165" s="3">
        <v>-1</v>
      </c>
      <c r="AR165" s="3">
        <v>0</v>
      </c>
      <c r="AS165">
        <v>0</v>
      </c>
      <c r="AT165">
        <v>0</v>
      </c>
      <c r="AU165">
        <v>0</v>
      </c>
      <c r="AV165">
        <v>2</v>
      </c>
      <c r="AW165">
        <v>2</v>
      </c>
      <c r="AX165">
        <v>7</v>
      </c>
      <c r="AY165">
        <v>0</v>
      </c>
      <c r="AZ165">
        <v>20</v>
      </c>
      <c r="BA165">
        <v>0</v>
      </c>
      <c r="BB165">
        <v>6</v>
      </c>
      <c r="BC165">
        <v>2</v>
      </c>
      <c r="BD165">
        <v>2</v>
      </c>
      <c r="BF165">
        <v>0</v>
      </c>
      <c r="BG165">
        <v>0</v>
      </c>
    </row>
    <row r="166" spans="1:59" x14ac:dyDescent="0.2">
      <c r="A166" t="s">
        <v>753</v>
      </c>
      <c r="B166">
        <v>82.42</v>
      </c>
      <c r="C166">
        <v>3.69</v>
      </c>
      <c r="D166">
        <v>2493446</v>
      </c>
      <c r="E166" t="s">
        <v>754</v>
      </c>
      <c r="F166" t="s">
        <v>755</v>
      </c>
      <c r="G166" t="s">
        <v>325</v>
      </c>
      <c r="H166" t="s">
        <v>40</v>
      </c>
      <c r="I166" t="s">
        <v>938</v>
      </c>
      <c r="J166">
        <v>0</v>
      </c>
      <c r="K166">
        <v>0</v>
      </c>
      <c r="L166">
        <v>2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4</v>
      </c>
      <c r="AQ166" s="3">
        <v>1</v>
      </c>
      <c r="AR166" s="3">
        <v>-1</v>
      </c>
      <c r="AS166">
        <v>0</v>
      </c>
      <c r="AT166">
        <v>0</v>
      </c>
      <c r="AU166">
        <v>0</v>
      </c>
      <c r="AV166">
        <v>2</v>
      </c>
      <c r="AW166">
        <v>2</v>
      </c>
      <c r="AX166">
        <v>21</v>
      </c>
      <c r="AY166">
        <v>0</v>
      </c>
      <c r="AZ166">
        <v>24</v>
      </c>
      <c r="BA166">
        <v>0</v>
      </c>
      <c r="BB166">
        <v>7</v>
      </c>
      <c r="BC166">
        <v>2</v>
      </c>
      <c r="BD166">
        <v>2</v>
      </c>
      <c r="BF166">
        <v>0</v>
      </c>
      <c r="BG166">
        <v>0</v>
      </c>
    </row>
    <row r="167" spans="1:59" x14ac:dyDescent="0.2">
      <c r="A167" t="s">
        <v>756</v>
      </c>
      <c r="B167">
        <v>74.69</v>
      </c>
      <c r="C167">
        <v>7.63</v>
      </c>
      <c r="D167">
        <v>2396188</v>
      </c>
      <c r="E167" t="s">
        <v>757</v>
      </c>
      <c r="F167" t="s">
        <v>758</v>
      </c>
      <c r="G167" t="s">
        <v>377</v>
      </c>
      <c r="H167" t="s">
        <v>376</v>
      </c>
      <c r="I167" t="s">
        <v>939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 s="3">
        <v>-1</v>
      </c>
      <c r="AR167" s="3">
        <v>0</v>
      </c>
      <c r="AS167">
        <v>0</v>
      </c>
      <c r="AT167">
        <v>0</v>
      </c>
      <c r="AU167">
        <v>0</v>
      </c>
      <c r="AV167">
        <v>2</v>
      </c>
      <c r="AW167">
        <v>1</v>
      </c>
      <c r="AX167">
        <v>7</v>
      </c>
      <c r="AY167">
        <v>0</v>
      </c>
      <c r="AZ167">
        <v>18</v>
      </c>
      <c r="BA167">
        <v>0</v>
      </c>
      <c r="BB167">
        <v>5</v>
      </c>
      <c r="BC167">
        <v>0</v>
      </c>
      <c r="BD167">
        <v>0</v>
      </c>
      <c r="BF167">
        <v>0</v>
      </c>
      <c r="BG167">
        <v>0</v>
      </c>
    </row>
    <row r="168" spans="1:59" x14ac:dyDescent="0.2">
      <c r="A168" t="s">
        <v>759</v>
      </c>
      <c r="B168">
        <v>74.260000000000005</v>
      </c>
      <c r="C168">
        <v>2.34</v>
      </c>
      <c r="D168">
        <v>2580843</v>
      </c>
      <c r="E168" t="s">
        <v>760</v>
      </c>
      <c r="F168" t="s">
        <v>761</v>
      </c>
      <c r="G168" t="s">
        <v>325</v>
      </c>
      <c r="H168" t="s">
        <v>207</v>
      </c>
      <c r="I168" t="s">
        <v>940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2</v>
      </c>
      <c r="AQ168" s="3">
        <v>0</v>
      </c>
      <c r="AR168" s="3">
        <v>-1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11</v>
      </c>
      <c r="AY168">
        <v>0</v>
      </c>
      <c r="AZ168">
        <v>19</v>
      </c>
      <c r="BA168">
        <v>0</v>
      </c>
      <c r="BB168">
        <v>4</v>
      </c>
      <c r="BC168">
        <v>2</v>
      </c>
      <c r="BD168">
        <v>2</v>
      </c>
      <c r="BF168">
        <v>0</v>
      </c>
      <c r="BG168">
        <v>0</v>
      </c>
    </row>
    <row r="169" spans="1:59" x14ac:dyDescent="0.2">
      <c r="A169" t="s">
        <v>762</v>
      </c>
      <c r="B169">
        <v>95.66</v>
      </c>
      <c r="C169">
        <v>3.46</v>
      </c>
      <c r="D169">
        <v>3304845</v>
      </c>
      <c r="E169" t="s">
        <v>729</v>
      </c>
      <c r="F169" t="s">
        <v>763</v>
      </c>
      <c r="G169" t="s">
        <v>325</v>
      </c>
      <c r="H169" t="s">
        <v>41</v>
      </c>
      <c r="I169" t="s">
        <v>941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3</v>
      </c>
      <c r="AQ169" s="3">
        <v>0</v>
      </c>
      <c r="AR169" s="3">
        <v>-1</v>
      </c>
      <c r="AS169">
        <v>0</v>
      </c>
      <c r="AT169">
        <v>0</v>
      </c>
      <c r="AU169">
        <v>0</v>
      </c>
      <c r="AV169">
        <v>3</v>
      </c>
      <c r="AW169">
        <v>3</v>
      </c>
      <c r="AX169">
        <v>22</v>
      </c>
      <c r="AY169">
        <v>0</v>
      </c>
      <c r="AZ169">
        <v>28</v>
      </c>
      <c r="BA169">
        <v>0</v>
      </c>
      <c r="BB169">
        <v>11</v>
      </c>
      <c r="BC169">
        <v>3</v>
      </c>
      <c r="BD169">
        <v>3</v>
      </c>
      <c r="BF169">
        <v>0</v>
      </c>
      <c r="BG169">
        <v>0</v>
      </c>
    </row>
    <row r="170" spans="1:59" x14ac:dyDescent="0.2">
      <c r="A170" t="s">
        <v>764</v>
      </c>
      <c r="B170">
        <v>94.95</v>
      </c>
      <c r="C170">
        <v>2.2400000000000002</v>
      </c>
      <c r="D170">
        <v>3191114</v>
      </c>
      <c r="E170" t="s">
        <v>765</v>
      </c>
      <c r="F170" t="s">
        <v>766</v>
      </c>
      <c r="G170" t="s">
        <v>403</v>
      </c>
      <c r="H170" t="s">
        <v>472</v>
      </c>
      <c r="I170" t="s">
        <v>942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</v>
      </c>
      <c r="AQ170" s="3">
        <v>1</v>
      </c>
      <c r="AR170" s="3">
        <v>0</v>
      </c>
      <c r="AS170">
        <v>0</v>
      </c>
      <c r="AT170">
        <v>0</v>
      </c>
      <c r="AU170">
        <v>0</v>
      </c>
      <c r="AV170">
        <v>2</v>
      </c>
      <c r="AW170">
        <v>1</v>
      </c>
      <c r="AX170">
        <v>24</v>
      </c>
      <c r="AY170">
        <v>0</v>
      </c>
      <c r="AZ170">
        <v>26</v>
      </c>
      <c r="BA170">
        <v>1</v>
      </c>
      <c r="BB170">
        <v>16</v>
      </c>
      <c r="BC170">
        <v>0</v>
      </c>
      <c r="BD170">
        <v>0</v>
      </c>
      <c r="BF170">
        <v>0</v>
      </c>
      <c r="BG170">
        <v>1</v>
      </c>
    </row>
    <row r="171" spans="1:59" x14ac:dyDescent="0.2">
      <c r="A171" t="s">
        <v>767</v>
      </c>
      <c r="B171">
        <v>93.21</v>
      </c>
      <c r="C171">
        <v>3.23</v>
      </c>
      <c r="D171">
        <v>3420491</v>
      </c>
      <c r="E171" t="s">
        <v>678</v>
      </c>
      <c r="F171" t="s">
        <v>679</v>
      </c>
      <c r="G171" t="s">
        <v>325</v>
      </c>
      <c r="H171" t="s">
        <v>40</v>
      </c>
      <c r="I171" t="s">
        <v>943</v>
      </c>
      <c r="J171">
        <v>0</v>
      </c>
      <c r="K171">
        <v>0</v>
      </c>
      <c r="L171">
        <v>3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1</v>
      </c>
      <c r="Z171">
        <v>2</v>
      </c>
      <c r="AA171">
        <v>0</v>
      </c>
      <c r="AB171">
        <v>2</v>
      </c>
      <c r="AC171">
        <v>1</v>
      </c>
      <c r="AD171">
        <v>1</v>
      </c>
      <c r="AE171">
        <v>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</v>
      </c>
      <c r="AQ171" s="3">
        <v>1</v>
      </c>
      <c r="AR171" s="3">
        <v>1</v>
      </c>
      <c r="AS171">
        <v>1</v>
      </c>
      <c r="AT171">
        <v>0</v>
      </c>
      <c r="AU171">
        <v>0</v>
      </c>
      <c r="AV171">
        <v>3</v>
      </c>
      <c r="AW171">
        <v>2</v>
      </c>
      <c r="AX171">
        <v>23</v>
      </c>
      <c r="AY171">
        <v>0</v>
      </c>
      <c r="AZ171">
        <v>29</v>
      </c>
      <c r="BA171">
        <v>0</v>
      </c>
      <c r="BB171">
        <v>18</v>
      </c>
      <c r="BC171">
        <v>2</v>
      </c>
      <c r="BD171">
        <v>2</v>
      </c>
      <c r="BF171">
        <v>0</v>
      </c>
      <c r="BG171">
        <v>0</v>
      </c>
    </row>
    <row r="172" spans="1:59" x14ac:dyDescent="0.2">
      <c r="A172" t="s">
        <v>768</v>
      </c>
      <c r="B172">
        <v>85.93</v>
      </c>
      <c r="C172">
        <v>4.4400000000000004</v>
      </c>
      <c r="D172">
        <v>2430317</v>
      </c>
      <c r="E172" t="s">
        <v>769</v>
      </c>
      <c r="F172" t="s">
        <v>770</v>
      </c>
      <c r="G172" t="s">
        <v>772</v>
      </c>
      <c r="H172" t="s">
        <v>771</v>
      </c>
      <c r="I172" t="s">
        <v>944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7</v>
      </c>
      <c r="AQ172" s="3">
        <v>0</v>
      </c>
      <c r="AR172" s="3">
        <v>0</v>
      </c>
      <c r="AS172">
        <v>0</v>
      </c>
      <c r="AT172">
        <v>0</v>
      </c>
      <c r="AU172">
        <v>0</v>
      </c>
      <c r="AV172">
        <v>4</v>
      </c>
      <c r="AW172">
        <v>4</v>
      </c>
      <c r="AX172">
        <v>16</v>
      </c>
      <c r="AY172">
        <v>0</v>
      </c>
      <c r="AZ172">
        <v>21</v>
      </c>
      <c r="BA172">
        <v>0</v>
      </c>
      <c r="BB172">
        <v>8</v>
      </c>
      <c r="BC172">
        <v>0</v>
      </c>
      <c r="BD172">
        <v>0</v>
      </c>
      <c r="BF172">
        <v>0</v>
      </c>
      <c r="BG172">
        <v>0</v>
      </c>
    </row>
    <row r="173" spans="1:59" x14ac:dyDescent="0.2">
      <c r="A173" t="s">
        <v>773</v>
      </c>
      <c r="B173">
        <v>79.349999999999994</v>
      </c>
      <c r="C173">
        <v>1.68</v>
      </c>
      <c r="D173">
        <v>2197623</v>
      </c>
      <c r="E173" t="s">
        <v>774</v>
      </c>
      <c r="F173" t="s">
        <v>775</v>
      </c>
      <c r="G173" t="s">
        <v>325</v>
      </c>
      <c r="H173" t="s">
        <v>207</v>
      </c>
      <c r="I173" t="s">
        <v>945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5</v>
      </c>
      <c r="AQ173" s="3">
        <v>0</v>
      </c>
      <c r="AR173" s="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12</v>
      </c>
      <c r="AY173">
        <v>0</v>
      </c>
      <c r="AZ173">
        <v>17</v>
      </c>
      <c r="BA173">
        <v>0</v>
      </c>
      <c r="BB173">
        <v>8</v>
      </c>
      <c r="BC173">
        <v>0</v>
      </c>
      <c r="BD173">
        <v>0</v>
      </c>
      <c r="BF173">
        <v>0</v>
      </c>
      <c r="BG173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S4a</vt:lpstr>
      <vt:lpstr>Table S4b</vt:lpstr>
      <vt:lpstr>Table S5</vt:lpstr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Zhu (BIO - Postgraduate Researcher)</dc:creator>
  <cp:lastModifiedBy>Xiaoyu Zhu (BIO - Postgraduate Researcher)</cp:lastModifiedBy>
  <dcterms:created xsi:type="dcterms:W3CDTF">2025-06-24T20:56:31Z</dcterms:created>
  <dcterms:modified xsi:type="dcterms:W3CDTF">2026-01-02T00:40:10Z</dcterms:modified>
</cp:coreProperties>
</file>