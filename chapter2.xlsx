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gbs22bju_uea_ac_uk/Documents/work/Thesis/"/>
    </mc:Choice>
  </mc:AlternateContent>
  <xr:revisionPtr revIDLastSave="629" documentId="8_{D2F347F0-2724-214A-8C6E-458C8427CAAB}" xr6:coauthVersionLast="47" xr6:coauthVersionMax="47" xr10:uidLastSave="{25DAE3F0-0F96-B542-B382-FFA0B21E1DD2}"/>
  <bookViews>
    <workbookView xWindow="0" yWindow="740" windowWidth="29400" windowHeight="18380" activeTab="4" xr2:uid="{37ED9BF4-F3F5-2043-B997-06A85E63AE22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5" l="1"/>
  <c r="O20" i="5"/>
  <c r="O10" i="5"/>
  <c r="P10" i="5"/>
  <c r="D10" i="5"/>
  <c r="E10" i="5"/>
  <c r="F10" i="5"/>
  <c r="G10" i="5"/>
  <c r="H10" i="5"/>
  <c r="I10" i="5"/>
  <c r="J10" i="5"/>
  <c r="K10" i="5"/>
  <c r="L10" i="5"/>
  <c r="M10" i="5"/>
  <c r="N10" i="5"/>
  <c r="C10" i="5"/>
  <c r="O6" i="5"/>
  <c r="P6" i="5"/>
  <c r="D6" i="5"/>
  <c r="E6" i="5"/>
  <c r="F6" i="5"/>
  <c r="G6" i="5"/>
  <c r="H6" i="5"/>
  <c r="I6" i="5"/>
  <c r="J6" i="5"/>
  <c r="K6" i="5"/>
  <c r="L6" i="5"/>
  <c r="M6" i="5"/>
  <c r="N6" i="5"/>
  <c r="C6" i="5"/>
  <c r="O135" i="7"/>
  <c r="O136" i="7"/>
  <c r="O137" i="7"/>
  <c r="O138" i="7"/>
  <c r="O139" i="7"/>
  <c r="P37" i="5"/>
  <c r="P38" i="5"/>
  <c r="O38" i="5"/>
  <c r="O37" i="5"/>
  <c r="O105" i="4"/>
  <c r="O106" i="4"/>
  <c r="O107" i="4"/>
  <c r="O108" i="4"/>
  <c r="O109" i="4"/>
  <c r="P32" i="3"/>
  <c r="O32" i="3"/>
  <c r="P31" i="3"/>
  <c r="O31" i="3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4" i="7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65" i="4"/>
  <c r="O34" i="5"/>
  <c r="P34" i="5"/>
  <c r="O35" i="5"/>
  <c r="P35" i="5"/>
  <c r="O36" i="5"/>
  <c r="P36" i="5"/>
  <c r="O28" i="3"/>
  <c r="P28" i="3"/>
  <c r="O29" i="3"/>
  <c r="P29" i="3"/>
  <c r="O30" i="3"/>
  <c r="P30" i="3"/>
  <c r="D29" i="5"/>
  <c r="E29" i="5"/>
  <c r="F29" i="5"/>
  <c r="G29" i="5"/>
  <c r="H29" i="5"/>
  <c r="I29" i="5"/>
  <c r="J29" i="5"/>
  <c r="K29" i="5"/>
  <c r="L29" i="5"/>
  <c r="M29" i="5"/>
  <c r="N29" i="5"/>
  <c r="C29" i="5"/>
  <c r="P33" i="5"/>
  <c r="O33" i="5"/>
  <c r="P32" i="5"/>
  <c r="O32" i="5"/>
  <c r="P31" i="5"/>
  <c r="O31" i="5"/>
  <c r="P30" i="5"/>
  <c r="O30" i="5"/>
  <c r="P28" i="5"/>
  <c r="O28" i="5"/>
  <c r="P27" i="5"/>
  <c r="O27" i="5"/>
  <c r="P26" i="5"/>
  <c r="O26" i="5"/>
  <c r="P25" i="5"/>
  <c r="O25" i="5"/>
  <c r="N24" i="5"/>
  <c r="M24" i="5"/>
  <c r="L24" i="5"/>
  <c r="K24" i="5"/>
  <c r="J24" i="5"/>
  <c r="I24" i="5"/>
  <c r="H24" i="5"/>
  <c r="G24" i="5"/>
  <c r="F24" i="5"/>
  <c r="E24" i="5"/>
  <c r="D24" i="5"/>
  <c r="C24" i="5"/>
  <c r="P23" i="5"/>
  <c r="O23" i="5"/>
  <c r="P22" i="5"/>
  <c r="O22" i="5"/>
  <c r="P21" i="5"/>
  <c r="O21" i="5"/>
  <c r="P19" i="5"/>
  <c r="O19" i="5"/>
  <c r="P18" i="5"/>
  <c r="O18" i="5"/>
  <c r="P17" i="5"/>
  <c r="O17" i="5"/>
  <c r="P16" i="5"/>
  <c r="O16" i="5"/>
  <c r="P15" i="5"/>
  <c r="O15" i="5"/>
  <c r="P14" i="5"/>
  <c r="O14" i="5"/>
  <c r="P13" i="5"/>
  <c r="O13" i="5"/>
  <c r="P12" i="5"/>
  <c r="O12" i="5"/>
  <c r="P11" i="5"/>
  <c r="O11" i="5"/>
  <c r="P9" i="5"/>
  <c r="O9" i="5"/>
  <c r="P8" i="5"/>
  <c r="O8" i="5"/>
  <c r="P7" i="5"/>
  <c r="O7" i="5"/>
  <c r="P5" i="5"/>
  <c r="O5" i="5"/>
  <c r="P4" i="5"/>
  <c r="O4" i="5"/>
  <c r="P24" i="3"/>
  <c r="P25" i="3"/>
  <c r="P26" i="3"/>
  <c r="P27" i="3"/>
  <c r="O24" i="3"/>
  <c r="O25" i="3"/>
  <c r="O26" i="3"/>
  <c r="O27" i="3"/>
  <c r="O29" i="5" l="1"/>
  <c r="P29" i="5"/>
  <c r="O24" i="5"/>
  <c r="P24" i="5"/>
  <c r="D6" i="3" l="1"/>
  <c r="E6" i="3"/>
  <c r="F6" i="3"/>
  <c r="G6" i="3"/>
  <c r="H6" i="3"/>
  <c r="I6" i="3"/>
  <c r="J6" i="3"/>
  <c r="K6" i="3"/>
  <c r="L6" i="3"/>
  <c r="M6" i="3"/>
  <c r="N6" i="3"/>
  <c r="C6" i="3"/>
  <c r="O6" i="3" s="1"/>
  <c r="P6" i="3" l="1"/>
  <c r="N23" i="3"/>
  <c r="M23" i="3"/>
  <c r="L23" i="3"/>
  <c r="K23" i="3"/>
  <c r="J23" i="3"/>
  <c r="I23" i="3"/>
  <c r="H23" i="3"/>
  <c r="G23" i="3"/>
  <c r="F23" i="3"/>
  <c r="E23" i="3"/>
  <c r="D23" i="3"/>
  <c r="C23" i="3"/>
  <c r="P22" i="3"/>
  <c r="O22" i="3"/>
  <c r="P21" i="3"/>
  <c r="O21" i="3"/>
  <c r="P20" i="3"/>
  <c r="O20" i="3"/>
  <c r="P19" i="3"/>
  <c r="O19" i="3"/>
  <c r="N18" i="3"/>
  <c r="M18" i="3"/>
  <c r="L18" i="3"/>
  <c r="K18" i="3"/>
  <c r="J18" i="3"/>
  <c r="I18" i="3"/>
  <c r="H18" i="3"/>
  <c r="G18" i="3"/>
  <c r="F18" i="3"/>
  <c r="E18" i="3"/>
  <c r="D18" i="3"/>
  <c r="C18" i="3"/>
  <c r="P17" i="3"/>
  <c r="O17" i="3"/>
  <c r="P16" i="3"/>
  <c r="O16" i="3"/>
  <c r="P15" i="3"/>
  <c r="O15" i="3"/>
  <c r="N14" i="3"/>
  <c r="M14" i="3"/>
  <c r="L14" i="3"/>
  <c r="K14" i="3"/>
  <c r="J14" i="3"/>
  <c r="I14" i="3"/>
  <c r="H14" i="3"/>
  <c r="G14" i="3"/>
  <c r="F14" i="3"/>
  <c r="E14" i="3"/>
  <c r="D14" i="3"/>
  <c r="C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5" i="3"/>
  <c r="O5" i="3"/>
  <c r="P4" i="3"/>
  <c r="O4" i="3"/>
  <c r="P18" i="3" l="1"/>
  <c r="O18" i="3"/>
  <c r="P23" i="3"/>
  <c r="P14" i="3"/>
  <c r="O14" i="3"/>
  <c r="O23" i="3"/>
</calcChain>
</file>

<file path=xl/sharedStrings.xml><?xml version="1.0" encoding="utf-8"?>
<sst xmlns="http://schemas.openxmlformats.org/spreadsheetml/2006/main" count="900" uniqueCount="244">
  <si>
    <t>Gene</t>
  </si>
  <si>
    <t>D3_23 (n=3)</t>
  </si>
  <si>
    <t>D4_13 (n=3)</t>
  </si>
  <si>
    <t>D4_20 (n=2)</t>
  </si>
  <si>
    <t>D4_27 (n=3)</t>
  </si>
  <si>
    <t>D5_04 (n=2)</t>
  </si>
  <si>
    <t>D5_12 (n=3)</t>
  </si>
  <si>
    <t>D5_25 (n=3)</t>
  </si>
  <si>
    <t>D6_07 (n=3)</t>
  </si>
  <si>
    <t>D6_21 (n=3)</t>
  </si>
  <si>
    <t>D6_28 (n=2)</t>
  </si>
  <si>
    <t>D7_05 (n=3)</t>
  </si>
  <si>
    <t>D7_19 (n=3)</t>
  </si>
  <si>
    <t>Range</t>
  </si>
  <si>
    <t>Average</t>
  </si>
  <si>
    <t>Met to DMSP</t>
  </si>
  <si>
    <t>dsyB</t>
  </si>
  <si>
    <t>mmtN</t>
  </si>
  <si>
    <t>DMSP to DMS</t>
  </si>
  <si>
    <t>dddD</t>
  </si>
  <si>
    <t>dddK</t>
  </si>
  <si>
    <t>dddL</t>
  </si>
  <si>
    <t>dddP</t>
  </si>
  <si>
    <t>dddQ</t>
  </si>
  <si>
    <t>dddU</t>
  </si>
  <si>
    <t>dddX</t>
  </si>
  <si>
    <t>all ddd genes</t>
  </si>
  <si>
    <t>dmdA</t>
  </si>
  <si>
    <t>MeSH to DMS</t>
  </si>
  <si>
    <t>mddA</t>
  </si>
  <si>
    <t>mddH</t>
  </si>
  <si>
    <t>all mdd genes</t>
  </si>
  <si>
    <t>DMSO to DMS</t>
  </si>
  <si>
    <t>DMSOR</t>
  </si>
  <si>
    <t>DMSP transport</t>
  </si>
  <si>
    <t>dmpX</t>
  </si>
  <si>
    <t>BCCT</t>
  </si>
  <si>
    <t>SAR11_1336</t>
  </si>
  <si>
    <t>all transporters</t>
  </si>
  <si>
    <t>Taxonomy</t>
  </si>
  <si>
    <t>Thalassobaculales; Nisaea</t>
  </si>
  <si>
    <t>Rhodobacterales; Pseudooceanicola</t>
  </si>
  <si>
    <t>Burkholderiales</t>
  </si>
  <si>
    <t>Rhodospirillales; Thalassospira</t>
  </si>
  <si>
    <t>Pseudomonadales; Luminiphilus</t>
  </si>
  <si>
    <t>SAR86</t>
  </si>
  <si>
    <t>Pseudomonadales</t>
  </si>
  <si>
    <t>Flavobacteriales</t>
  </si>
  <si>
    <t>Rhodobacterales; Limimaricola</t>
  </si>
  <si>
    <t>Pelagibacterales; Pelagibacter</t>
  </si>
  <si>
    <t>SAR324</t>
  </si>
  <si>
    <t>PS1; Pseudothioglobus</t>
  </si>
  <si>
    <t>Rhodobacterales; Amylibacter</t>
  </si>
  <si>
    <t>Rhodobacterales; Planktomarina</t>
  </si>
  <si>
    <t>Rhodobacterales</t>
  </si>
  <si>
    <t>Caulobacterales; Hellea</t>
  </si>
  <si>
    <t>Rhodospirillales</t>
  </si>
  <si>
    <t>Rhodobacterales; Planktotalea</t>
  </si>
  <si>
    <t>Puniceispirillales</t>
  </si>
  <si>
    <t>ddhA</t>
  </si>
  <si>
    <t>dmoA</t>
  </si>
  <si>
    <t>Acidimicrobiales</t>
  </si>
  <si>
    <t>Rhodobacterales; Ruegeria</t>
  </si>
  <si>
    <t>Puniceispirillales; Puniceispirillum</t>
  </si>
  <si>
    <t>dsoB</t>
  </si>
  <si>
    <t>Nevskiales; Polycyclovorans</t>
  </si>
  <si>
    <t>tmm</t>
  </si>
  <si>
    <t>Station</t>
  </si>
  <si>
    <t>3_23</t>
  </si>
  <si>
    <t>L4</t>
  </si>
  <si>
    <t>3_30</t>
  </si>
  <si>
    <t>4_06</t>
  </si>
  <si>
    <t>4_13</t>
  </si>
  <si>
    <t>4_20</t>
  </si>
  <si>
    <t>4_27</t>
  </si>
  <si>
    <t>5_04</t>
  </si>
  <si>
    <t>5_12</t>
  </si>
  <si>
    <t>5_17</t>
  </si>
  <si>
    <t>5_25</t>
  </si>
  <si>
    <t>6_02</t>
  </si>
  <si>
    <t>6_07</t>
  </si>
  <si>
    <t>6_14</t>
  </si>
  <si>
    <t>6_21</t>
  </si>
  <si>
    <t>6_28</t>
  </si>
  <si>
    <t>7_05</t>
  </si>
  <si>
    <t>7_19</t>
  </si>
  <si>
    <t>Date</t>
  </si>
  <si>
    <t>Depth (m)</t>
  </si>
  <si>
    <t>DMSPp (nM)</t>
  </si>
  <si>
    <t>DMS (nM)</t>
  </si>
  <si>
    <t>Phase</t>
  </si>
  <si>
    <t>D3_23_1</t>
  </si>
  <si>
    <t>3_23 (n=3)</t>
  </si>
  <si>
    <t>Pre-bloom</t>
  </si>
  <si>
    <t>D3_23_2</t>
  </si>
  <si>
    <t>D3_23_3</t>
  </si>
  <si>
    <t>D4_13_1</t>
  </si>
  <si>
    <t>4_13 (n=3)</t>
  </si>
  <si>
    <t>Diatom bloom</t>
  </si>
  <si>
    <t>D4_13_2</t>
  </si>
  <si>
    <t>D4_13_3</t>
  </si>
  <si>
    <t>D4_20_1</t>
  </si>
  <si>
    <t>4_20 (n=2)</t>
  </si>
  <si>
    <t>D4_20_2</t>
  </si>
  <si>
    <t>D4_27_1</t>
  </si>
  <si>
    <t>4_27 (n=3)</t>
  </si>
  <si>
    <t>D4_27_2</t>
  </si>
  <si>
    <t>D4_27_3</t>
  </si>
  <si>
    <t>D5_04_1</t>
  </si>
  <si>
    <t>5_04 (n=2)</t>
  </si>
  <si>
    <t>D5_04_2</t>
  </si>
  <si>
    <t>D5_12_1</t>
  </si>
  <si>
    <t>5_12 (n=3)</t>
  </si>
  <si>
    <t>D5_12_2</t>
  </si>
  <si>
    <t>D5_12_3</t>
  </si>
  <si>
    <t>D5_25_1</t>
  </si>
  <si>
    <t>5_25 (n=3)</t>
  </si>
  <si>
    <t>D5_25_2</t>
  </si>
  <si>
    <t>D5_25_3</t>
  </si>
  <si>
    <t>D6_07_1</t>
  </si>
  <si>
    <t>6_07 (n=3)</t>
  </si>
  <si>
    <t>Dinoflagellate bloom</t>
  </si>
  <si>
    <t>D6_07_2</t>
  </si>
  <si>
    <t>D6_07_3</t>
  </si>
  <si>
    <t>D6_21_1</t>
  </si>
  <si>
    <t>6_21 (n=3)</t>
  </si>
  <si>
    <t>D6_21_2</t>
  </si>
  <si>
    <t>D6_21_3</t>
  </si>
  <si>
    <t>D6_28_1</t>
  </si>
  <si>
    <t>6_28 (n=2)</t>
  </si>
  <si>
    <t>D6_28_2</t>
  </si>
  <si>
    <t>D7_05_1</t>
  </si>
  <si>
    <t>7_05 (n=3)</t>
  </si>
  <si>
    <t>D7_05_2</t>
  </si>
  <si>
    <t>D7_05_3</t>
  </si>
  <si>
    <t>D7_19_1</t>
  </si>
  <si>
    <t>7_19 (n=3)</t>
  </si>
  <si>
    <t>D7_19_2</t>
  </si>
  <si>
    <t>D7_19_3</t>
  </si>
  <si>
    <t>R3_23_1</t>
  </si>
  <si>
    <t>R3_23_2</t>
  </si>
  <si>
    <t>R3_23_3</t>
  </si>
  <si>
    <t>R4_13_1</t>
  </si>
  <si>
    <t>R4_13_2</t>
  </si>
  <si>
    <t>R4_13_3</t>
  </si>
  <si>
    <t>R4_20_1</t>
  </si>
  <si>
    <t>R4_20_2</t>
  </si>
  <si>
    <t>R4_27_1</t>
  </si>
  <si>
    <t>4_27 (n=2)</t>
  </si>
  <si>
    <t>R4_27_3</t>
  </si>
  <si>
    <t>R5_04_1</t>
  </si>
  <si>
    <t>R5_04_2</t>
  </si>
  <si>
    <t>R5_12_1</t>
  </si>
  <si>
    <t>R5_12_2</t>
  </si>
  <si>
    <t>R5_12_3</t>
  </si>
  <si>
    <t>R5_25_1</t>
  </si>
  <si>
    <t>R5_25_2</t>
  </si>
  <si>
    <t>R5_25_3</t>
  </si>
  <si>
    <t>R6_07_1</t>
  </si>
  <si>
    <t>R6_07_2</t>
  </si>
  <si>
    <t>R6_07_3</t>
  </si>
  <si>
    <t>R6_21_1</t>
  </si>
  <si>
    <t>6_21 (n=2)</t>
  </si>
  <si>
    <t>R6_21_3</t>
  </si>
  <si>
    <t>R6_28_1</t>
  </si>
  <si>
    <t>R6_28_2</t>
  </si>
  <si>
    <t>R7_05_2</t>
  </si>
  <si>
    <t>7_05 (n=2)</t>
  </si>
  <si>
    <t>R7_05_3</t>
  </si>
  <si>
    <t>R7_19_1</t>
  </si>
  <si>
    <t>R7_19_2</t>
  </si>
  <si>
    <t>R7_19_3</t>
  </si>
  <si>
    <t>Sample group</t>
  </si>
  <si>
    <t>Sample ID</t>
  </si>
  <si>
    <t>DNA</t>
  </si>
  <si>
    <t>Sample Type</t>
  </si>
  <si>
    <t>RNA</t>
  </si>
  <si>
    <t>Metagenome accession number</t>
  </si>
  <si>
    <t>16S rRNA gene amplicon accession number</t>
  </si>
  <si>
    <t>PRJNA901170</t>
  </si>
  <si>
    <t>PRJNA901156</t>
  </si>
  <si>
    <t>PRJNA901154</t>
  </si>
  <si>
    <t>DSYB</t>
  </si>
  <si>
    <t>DSYE</t>
  </si>
  <si>
    <t>TpMMT</t>
  </si>
  <si>
    <t>Alma</t>
  </si>
  <si>
    <t>DMS to MeSH</t>
  </si>
  <si>
    <t>DMS to DMSO</t>
  </si>
  <si>
    <t>Haptophyta</t>
  </si>
  <si>
    <t>Dinophyta</t>
  </si>
  <si>
    <t>Haptophyta; Phaeocystis</t>
  </si>
  <si>
    <t>Dinophyta; Scrippsiella</t>
  </si>
  <si>
    <t>Dinophyta; Durinskia</t>
  </si>
  <si>
    <t>Dinophyta; Alexandrium</t>
  </si>
  <si>
    <t>Haptophyta; Chrysochromulina</t>
  </si>
  <si>
    <t>Dinophyta; Heterocapsa</t>
  </si>
  <si>
    <t>Dinophyta; Ceratium</t>
  </si>
  <si>
    <t>Haptophyta; Dicrateria</t>
  </si>
  <si>
    <t>Dictyochophyta</t>
  </si>
  <si>
    <t>Dinophyta; Kryptoperidinium</t>
  </si>
  <si>
    <t>Choanoflagellida</t>
  </si>
  <si>
    <t>Chlorophyta; Micromonas</t>
  </si>
  <si>
    <t>Chlorophyta; Ostreococcus</t>
  </si>
  <si>
    <t>Chlorophyta; Mantoniella</t>
  </si>
  <si>
    <t>Chlorophyta</t>
  </si>
  <si>
    <t>Bacillariophyta</t>
  </si>
  <si>
    <t>Bacillariophyta; Pseudo-nitzschia</t>
  </si>
  <si>
    <t>Bacillariophyta; Thalassiosira</t>
  </si>
  <si>
    <t>Cryptophyta</t>
  </si>
  <si>
    <t>Chlorophyta; Pycnococcus</t>
  </si>
  <si>
    <t>Pelagibacterales</t>
  </si>
  <si>
    <r>
      <rPr>
        <b/>
        <sz val="16"/>
        <color theme="1"/>
        <rFont val="Aptos Narrow"/>
        <family val="2"/>
        <scheme val="minor"/>
      </rPr>
      <t>Table S1</t>
    </r>
    <r>
      <rPr>
        <sz val="16"/>
        <color theme="1"/>
        <rFont val="Aptos Narrow"/>
        <family val="2"/>
        <scheme val="minor"/>
      </rPr>
      <t xml:space="preserve"> Sample definition and metadata.</t>
    </r>
  </si>
  <si>
    <r>
      <rPr>
        <b/>
        <sz val="16"/>
        <color theme="1"/>
        <rFont val="Aptos Narrow"/>
        <family val="2"/>
        <scheme val="minor"/>
      </rPr>
      <t>Table S2</t>
    </r>
    <r>
      <rPr>
        <sz val="16"/>
        <color theme="1"/>
        <rFont val="Aptos Narrow"/>
        <family val="2"/>
        <scheme val="minor"/>
      </rPr>
      <t xml:space="preserve"> Information of 16S rRNA gene amplicons, metagenomes, metatranscriptomes used.</t>
    </r>
  </si>
  <si>
    <t>all prokaryotic synthase genes</t>
  </si>
  <si>
    <t>s</t>
    <phoneticPr fontId="18" type="noConversion"/>
  </si>
  <si>
    <t>Nevskiales; Salinisphaera</t>
  </si>
  <si>
    <t>Pathway</t>
  </si>
  <si>
    <t>Dinophyta; Pyrodinium</t>
  </si>
  <si>
    <t>all transporter genes</t>
  </si>
  <si>
    <t>Met to MeSH</t>
  </si>
  <si>
    <t>megL</t>
  </si>
  <si>
    <t>dmdB</t>
  </si>
  <si>
    <t>dmdC</t>
  </si>
  <si>
    <t>dmdD</t>
  </si>
  <si>
    <t>MMPA to MMPA-CoA</t>
  </si>
  <si>
    <t>MMPA-CoA to MTO-CoA</t>
  </si>
  <si>
    <t>MTO-CoA to MeSH</t>
  </si>
  <si>
    <t>Unclassified and Others</t>
  </si>
  <si>
    <t>Unclassified</t>
  </si>
  <si>
    <t>Others</t>
  </si>
  <si>
    <t>PS1</t>
  </si>
  <si>
    <t>DMSP to MMPA</t>
  </si>
  <si>
    <t>Filter size (μm)</t>
  </si>
  <si>
    <t>acuH</t>
  </si>
  <si>
    <t>Metatranscriptome accession number</t>
  </si>
  <si>
    <t>Longtitude</t>
  </si>
  <si>
    <t>Latitude</t>
  </si>
  <si>
    <r>
      <rPr>
        <b/>
        <sz val="16"/>
        <color theme="1"/>
        <rFont val="Aptos Narrow"/>
        <family val="2"/>
        <scheme val="minor"/>
      </rPr>
      <t xml:space="preserve">Table S5 </t>
    </r>
    <r>
      <rPr>
        <sz val="16"/>
        <color theme="1"/>
        <rFont val="Aptos Narrow"/>
        <family val="2"/>
        <scheme val="minor"/>
      </rPr>
      <t xml:space="preserve"> Relative expression (Transcripts per million reads) of DMSP/DMS/MeSH metabolism related genes revealed by metatranscriptomes.</t>
    </r>
  </si>
  <si>
    <r>
      <rPr>
        <b/>
        <sz val="16"/>
        <color theme="1"/>
        <rFont val="Aptos Narrow"/>
        <family val="2"/>
        <scheme val="minor"/>
      </rPr>
      <t xml:space="preserve">Table S4 </t>
    </r>
    <r>
      <rPr>
        <sz val="16"/>
        <color theme="1"/>
        <rFont val="Aptos Narrow"/>
        <family val="2"/>
        <scheme val="minor"/>
      </rPr>
      <t xml:space="preserve"> Taxonomic composition of DMSP/DMS/MeSH metabolism related genes revealed by metagenomes. Values are relative abundance (% of prokaryotes) revealed by metagenomes.</t>
    </r>
  </si>
  <si>
    <r>
      <rPr>
        <b/>
        <sz val="16"/>
        <color theme="1"/>
        <rFont val="Aptos Narrow"/>
        <family val="2"/>
        <scheme val="minor"/>
      </rPr>
      <t>Table S3</t>
    </r>
    <r>
      <rPr>
        <sz val="16"/>
        <color theme="1"/>
        <rFont val="Aptos Narrow"/>
        <family val="2"/>
        <scheme val="minor"/>
      </rPr>
      <t xml:space="preserve"> Relative abundance (% of prokaryotes) of DMSP/DMS/MeSH metabolism related genes revealed by metagenomes.</t>
    </r>
  </si>
  <si>
    <r>
      <rPr>
        <b/>
        <sz val="16"/>
        <color theme="1"/>
        <rFont val="Aptos Narrow"/>
        <scheme val="minor"/>
      </rPr>
      <t xml:space="preserve">Table S6 </t>
    </r>
    <r>
      <rPr>
        <sz val="16"/>
        <color theme="1"/>
        <rFont val="Aptos Narrow"/>
        <scheme val="minor"/>
      </rPr>
      <t>Taxonomic composition of DMSP/DMS/MeSH metabolism related gene transcripts revealed by metatranscriptomes. Values are relative expression (Transcripts per million reads) revealed by metatranscriptomes.</t>
    </r>
  </si>
  <si>
    <t>all eukaryotic synthase genes</t>
  </si>
  <si>
    <t>all prokaryotic lyase genes</t>
  </si>
  <si>
    <t>all eukaryotic lyase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</si>
</sst>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;[Red]0.00"/>
    <numFmt numFmtId="166" formatCode="0.0000"/>
  </numFmts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4"/>
      <charset val="134"/>
      <scheme val="minor"/>
    </font>
    <font>
      <sz val="12"/>
      <color theme="1"/>
      <name val="Aptos Narrow"/>
      <family val="4"/>
      <charset val="134"/>
      <scheme val="minor"/>
    </font>
    <font>
      <sz val="18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i/>
      <sz val="11"/>
      <color theme="1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0"/>
      <color rgb="FF000000"/>
      <name val="Arial Unicode MS"/>
      <family val="2"/>
    </font>
    <font>
      <sz val="1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4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0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5" fontId="9" fillId="0" borderId="0" xfId="1" applyNumberForma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/>
    <xf numFmtId="11" fontId="6" fillId="0" borderId="0" xfId="0" applyNumberFormat="1" applyFont="1"/>
    <xf numFmtId="11" fontId="7" fillId="0" borderId="0" xfId="0" applyNumberFormat="1" applyFont="1"/>
    <xf numFmtId="11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14" fillId="0" borderId="0" xfId="0" applyFont="1"/>
    <xf numFmtId="0" fontId="16" fillId="0" borderId="0" xfId="0" applyFont="1"/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" fontId="12" fillId="0" borderId="0" xfId="0" applyNumberFormat="1" applyFont="1" applyAlignment="1">
      <alignment horizontal="left"/>
    </xf>
    <xf numFmtId="0" fontId="8" fillId="0" borderId="0" xfId="0" applyFont="1"/>
    <xf numFmtId="0" fontId="17" fillId="0" borderId="0" xfId="0" applyFont="1"/>
    <xf numFmtId="11" fontId="0" fillId="0" borderId="0" xfId="0" applyNumberFormat="1"/>
    <xf numFmtId="0" fontId="19" fillId="0" borderId="0" xfId="0" applyFont="1"/>
    <xf numFmtId="0" fontId="12" fillId="0" borderId="0" xfId="0" applyFont="1" applyAlignment="1">
      <alignment horizontal="left"/>
    </xf>
    <xf numFmtId="165" fontId="13" fillId="0" borderId="0" xfId="1" applyNumberFormat="1" applyFont="1" applyAlignment="1">
      <alignment horizontal="left" vertical="center"/>
    </xf>
    <xf numFmtId="0" fontId="20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BE8F75CF-703F-554D-ADAE-4FFE20648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1819-3076-DC4D-82BA-448C6347C16F}">
  <dimension ref="A1:W22"/>
  <sheetViews>
    <sheetView workbookViewId="0">
      <selection activeCell="H15" sqref="H15"/>
    </sheetView>
  </sheetViews>
  <sheetFormatPr baseColWidth="10" defaultColWidth="11" defaultRowHeight="16" x14ac:dyDescent="0.2"/>
  <cols>
    <col min="2" max="2" width="15.1640625" customWidth="1"/>
    <col min="3" max="3" width="20" customWidth="1"/>
    <col min="5" max="5" width="14.5" customWidth="1"/>
    <col min="6" max="6" width="12.6640625" customWidth="1"/>
    <col min="10" max="10" width="13.83203125" customWidth="1"/>
    <col min="11" max="11" width="33" customWidth="1"/>
    <col min="12" max="12" width="39" customWidth="1"/>
    <col min="13" max="13" width="15.1640625" customWidth="1"/>
    <col min="14" max="14" width="11.33203125" customWidth="1"/>
    <col min="15" max="15" width="13.6640625" customWidth="1"/>
    <col min="16" max="16" width="11.83203125" customWidth="1"/>
    <col min="19" max="19" width="12.83203125" customWidth="1"/>
    <col min="21" max="21" width="16.33203125" customWidth="1"/>
    <col min="22" max="22" width="24" customWidth="1"/>
    <col min="23" max="23" width="30.33203125" customWidth="1"/>
  </cols>
  <sheetData>
    <row r="1" spans="1:23" ht="22" x14ac:dyDescent="0.3">
      <c r="A1" s="25" t="s">
        <v>211</v>
      </c>
    </row>
    <row r="3" spans="1:23" s="31" customFormat="1" x14ac:dyDescent="0.2">
      <c r="A3" s="27" t="s">
        <v>173</v>
      </c>
      <c r="B3" s="28" t="s">
        <v>86</v>
      </c>
      <c r="C3" s="28" t="s">
        <v>90</v>
      </c>
      <c r="D3" s="29" t="s">
        <v>67</v>
      </c>
      <c r="E3" s="35" t="s">
        <v>235</v>
      </c>
      <c r="F3" s="35" t="s">
        <v>236</v>
      </c>
      <c r="G3" s="30" t="s">
        <v>87</v>
      </c>
      <c r="H3" s="30" t="s">
        <v>88</v>
      </c>
      <c r="I3" s="30" t="s">
        <v>89</v>
      </c>
      <c r="J3" s="30"/>
      <c r="K3" s="36"/>
      <c r="L3" s="36"/>
      <c r="M3" s="29"/>
      <c r="N3" s="29"/>
      <c r="O3" s="29"/>
      <c r="P3" s="29"/>
      <c r="Q3" s="27"/>
      <c r="R3" s="27"/>
      <c r="S3" s="27"/>
      <c r="T3" s="27"/>
      <c r="U3" s="27"/>
      <c r="V3" s="30"/>
      <c r="W3" s="29"/>
    </row>
    <row r="4" spans="1:23" x14ac:dyDescent="0.2">
      <c r="A4" s="10" t="s">
        <v>68</v>
      </c>
      <c r="B4" s="11">
        <v>44278</v>
      </c>
      <c r="C4" t="s">
        <v>93</v>
      </c>
      <c r="D4" s="12" t="s">
        <v>69</v>
      </c>
      <c r="E4" s="12">
        <v>-4.22</v>
      </c>
      <c r="F4" s="12">
        <v>50.25</v>
      </c>
      <c r="G4" s="13">
        <v>10</v>
      </c>
      <c r="H4" s="9">
        <v>7.0176003951040187</v>
      </c>
      <c r="I4" s="9">
        <v>2.58</v>
      </c>
      <c r="J4" s="9"/>
      <c r="K4" s="9"/>
      <c r="L4" s="12"/>
      <c r="M4" s="14"/>
      <c r="N4" s="12"/>
      <c r="O4" s="12"/>
      <c r="P4" s="12"/>
      <c r="Q4" s="10"/>
      <c r="R4" s="10"/>
      <c r="S4" s="10"/>
      <c r="T4" s="10"/>
      <c r="U4" s="10"/>
      <c r="V4" s="9"/>
      <c r="W4" s="12"/>
    </row>
    <row r="5" spans="1:23" x14ac:dyDescent="0.2">
      <c r="A5" s="10" t="s">
        <v>70</v>
      </c>
      <c r="B5" s="11">
        <v>44285</v>
      </c>
      <c r="C5" t="s">
        <v>93</v>
      </c>
      <c r="D5" s="12" t="s">
        <v>69</v>
      </c>
      <c r="E5" s="12">
        <v>-4.22</v>
      </c>
      <c r="F5" s="12">
        <v>50.25</v>
      </c>
      <c r="G5" s="13">
        <v>10</v>
      </c>
      <c r="H5" s="15">
        <v>22.981663880304122</v>
      </c>
      <c r="I5" s="16">
        <v>1.9476355624323569</v>
      </c>
      <c r="J5" s="9"/>
      <c r="K5" s="12"/>
      <c r="L5" s="12"/>
      <c r="M5" s="14"/>
      <c r="N5" s="12"/>
      <c r="O5" s="12"/>
      <c r="P5" s="12"/>
      <c r="Q5" s="10"/>
      <c r="R5" s="10"/>
      <c r="S5" s="10"/>
      <c r="T5" s="10"/>
      <c r="U5" s="10"/>
      <c r="V5" s="9"/>
      <c r="W5" s="12"/>
    </row>
    <row r="6" spans="1:23" x14ac:dyDescent="0.2">
      <c r="A6" s="10" t="s">
        <v>71</v>
      </c>
      <c r="B6" s="11">
        <v>44292</v>
      </c>
      <c r="C6" t="s">
        <v>93</v>
      </c>
      <c r="D6" s="12" t="s">
        <v>69</v>
      </c>
      <c r="E6" s="12">
        <v>-4.22</v>
      </c>
      <c r="F6" s="12">
        <v>50.25</v>
      </c>
      <c r="G6" s="13">
        <v>10</v>
      </c>
      <c r="H6" s="15">
        <v>19.924988881097196</v>
      </c>
      <c r="I6" s="16">
        <v>1.9742091708898979</v>
      </c>
      <c r="J6" s="9"/>
      <c r="K6" s="12"/>
      <c r="L6" s="12"/>
      <c r="M6" s="14"/>
      <c r="N6" s="12"/>
      <c r="O6" s="12"/>
      <c r="P6" s="12"/>
      <c r="Q6" s="10"/>
      <c r="R6" s="10"/>
      <c r="S6" s="10"/>
      <c r="T6" s="10"/>
      <c r="U6" s="10"/>
      <c r="V6" s="9"/>
      <c r="W6" s="12"/>
    </row>
    <row r="7" spans="1:23" x14ac:dyDescent="0.2">
      <c r="A7" s="10" t="s">
        <v>72</v>
      </c>
      <c r="B7" s="11">
        <v>44299</v>
      </c>
      <c r="C7" t="s">
        <v>98</v>
      </c>
      <c r="D7" s="12" t="s">
        <v>69</v>
      </c>
      <c r="E7" s="12">
        <v>-4.22</v>
      </c>
      <c r="F7" s="12">
        <v>50.25</v>
      </c>
      <c r="G7" s="13">
        <v>10</v>
      </c>
      <c r="H7" s="15">
        <v>20.511268392802592</v>
      </c>
      <c r="I7" s="16">
        <v>2.0439663508960599</v>
      </c>
      <c r="J7" s="9"/>
      <c r="K7" s="17"/>
      <c r="L7" s="17"/>
      <c r="M7" s="14"/>
      <c r="N7" s="12"/>
      <c r="O7" s="12"/>
      <c r="P7" s="12"/>
      <c r="Q7" s="10"/>
      <c r="R7" s="10"/>
      <c r="S7" s="10"/>
      <c r="T7" s="10"/>
      <c r="U7" s="10"/>
      <c r="V7" s="9"/>
      <c r="W7" s="12"/>
    </row>
    <row r="8" spans="1:23" x14ac:dyDescent="0.2">
      <c r="A8" s="10" t="s">
        <v>73</v>
      </c>
      <c r="B8" s="11">
        <v>44306</v>
      </c>
      <c r="C8" t="s">
        <v>98</v>
      </c>
      <c r="D8" s="12" t="s">
        <v>69</v>
      </c>
      <c r="E8" s="12">
        <v>-4.22</v>
      </c>
      <c r="F8" s="12">
        <v>50.25</v>
      </c>
      <c r="G8" s="13">
        <v>10</v>
      </c>
      <c r="H8" s="15">
        <v>70.035979156604</v>
      </c>
      <c r="I8" s="16">
        <v>6.2983959290751246</v>
      </c>
      <c r="J8" s="9"/>
      <c r="K8" s="12"/>
      <c r="L8" s="12"/>
      <c r="M8" s="14"/>
      <c r="N8" s="12"/>
      <c r="O8" s="12"/>
      <c r="P8" s="12"/>
      <c r="Q8" s="10"/>
      <c r="R8" s="10"/>
      <c r="S8" s="10"/>
      <c r="T8" s="10"/>
      <c r="U8" s="10"/>
      <c r="V8" s="9"/>
      <c r="W8" s="12"/>
    </row>
    <row r="9" spans="1:23" x14ac:dyDescent="0.2">
      <c r="A9" s="10" t="s">
        <v>74</v>
      </c>
      <c r="B9" s="11">
        <v>44313</v>
      </c>
      <c r="C9" t="s">
        <v>98</v>
      </c>
      <c r="D9" s="12" t="s">
        <v>69</v>
      </c>
      <c r="E9" s="12">
        <v>-4.22</v>
      </c>
      <c r="F9" s="12">
        <v>50.25</v>
      </c>
      <c r="G9" s="13">
        <v>10</v>
      </c>
      <c r="H9" s="15">
        <v>48.53926711048296</v>
      </c>
      <c r="I9" s="16">
        <v>5.23556044898928</v>
      </c>
      <c r="J9" s="9"/>
      <c r="K9" s="17"/>
      <c r="L9" s="17"/>
      <c r="M9" s="14"/>
      <c r="N9" s="12"/>
      <c r="O9" s="12"/>
      <c r="P9" s="12"/>
      <c r="Q9" s="10"/>
      <c r="R9" s="10"/>
      <c r="S9" s="10"/>
      <c r="T9" s="10"/>
      <c r="U9" s="10"/>
      <c r="V9" s="9"/>
      <c r="W9" s="12"/>
    </row>
    <row r="10" spans="1:23" x14ac:dyDescent="0.2">
      <c r="A10" s="10" t="s">
        <v>75</v>
      </c>
      <c r="B10" s="11">
        <v>44320</v>
      </c>
      <c r="C10" t="s">
        <v>98</v>
      </c>
      <c r="D10" s="12" t="s">
        <v>69</v>
      </c>
      <c r="E10" s="12">
        <v>-4.22</v>
      </c>
      <c r="F10" s="12">
        <v>50.25</v>
      </c>
      <c r="G10" s="13">
        <v>10</v>
      </c>
      <c r="H10" s="15">
        <v>45.31621322983225</v>
      </c>
      <c r="I10" s="16">
        <v>27.410642659736222</v>
      </c>
      <c r="J10" s="9"/>
      <c r="K10" s="12"/>
      <c r="L10" s="12"/>
      <c r="M10" s="14"/>
      <c r="N10" s="12"/>
      <c r="O10" s="12"/>
      <c r="P10" s="12"/>
      <c r="Q10" s="10"/>
      <c r="R10" s="10"/>
      <c r="S10" s="10"/>
      <c r="T10" s="10"/>
      <c r="U10" s="10"/>
      <c r="V10" s="9"/>
      <c r="W10" s="12"/>
    </row>
    <row r="11" spans="1:23" x14ac:dyDescent="0.2">
      <c r="A11" s="10" t="s">
        <v>76</v>
      </c>
      <c r="B11" s="11">
        <v>44328</v>
      </c>
      <c r="C11" t="s">
        <v>98</v>
      </c>
      <c r="D11" s="12" t="s">
        <v>69</v>
      </c>
      <c r="E11" s="12">
        <v>-4.22</v>
      </c>
      <c r="F11" s="12">
        <v>50.25</v>
      </c>
      <c r="G11" s="13">
        <v>10</v>
      </c>
      <c r="H11" s="15">
        <v>50.46913543679706</v>
      </c>
      <c r="I11" s="16">
        <v>3.1909113712666213</v>
      </c>
      <c r="J11" s="9"/>
      <c r="K11" s="17"/>
      <c r="L11" s="17"/>
      <c r="M11" s="14"/>
      <c r="N11" s="12"/>
      <c r="O11" s="12"/>
      <c r="P11" s="12"/>
      <c r="Q11" s="10"/>
      <c r="R11" s="10"/>
      <c r="S11" s="10"/>
      <c r="T11" s="10"/>
      <c r="U11" s="10"/>
      <c r="V11" s="9"/>
      <c r="W11" s="12"/>
    </row>
    <row r="12" spans="1:23" x14ac:dyDescent="0.2">
      <c r="A12" s="10" t="s">
        <v>77</v>
      </c>
      <c r="B12" s="11">
        <v>44333</v>
      </c>
      <c r="C12" t="s">
        <v>98</v>
      </c>
      <c r="D12" s="12" t="s">
        <v>69</v>
      </c>
      <c r="E12" s="12">
        <v>-4.22</v>
      </c>
      <c r="F12" s="12">
        <v>50.25</v>
      </c>
      <c r="G12" s="13">
        <v>10</v>
      </c>
      <c r="H12" s="15">
        <v>44.302344452930917</v>
      </c>
      <c r="I12" s="16">
        <v>3.1916472569523382</v>
      </c>
      <c r="J12" s="9"/>
      <c r="K12" s="12"/>
      <c r="L12" s="12"/>
      <c r="M12" s="14"/>
      <c r="N12" s="12"/>
      <c r="O12" s="12"/>
      <c r="P12" s="12"/>
      <c r="Q12" s="10"/>
      <c r="R12" s="10"/>
      <c r="S12" s="10"/>
      <c r="T12" s="10"/>
      <c r="U12" s="10"/>
      <c r="V12" s="9"/>
      <c r="W12" s="12"/>
    </row>
    <row r="13" spans="1:23" x14ac:dyDescent="0.2">
      <c r="A13" s="10" t="s">
        <v>78</v>
      </c>
      <c r="B13" s="11">
        <v>44341</v>
      </c>
      <c r="C13" t="s">
        <v>98</v>
      </c>
      <c r="D13" s="12" t="s">
        <v>69</v>
      </c>
      <c r="E13" s="12">
        <v>-4.22</v>
      </c>
      <c r="F13" s="12">
        <v>50.25</v>
      </c>
      <c r="G13" s="13">
        <v>10</v>
      </c>
      <c r="H13" s="15">
        <v>36.982682378423085</v>
      </c>
      <c r="I13" s="16">
        <v>2.2423032977399302</v>
      </c>
      <c r="J13" s="9"/>
      <c r="K13" s="17"/>
      <c r="L13" s="17"/>
      <c r="M13" s="14"/>
      <c r="N13" s="12"/>
      <c r="O13" s="12"/>
      <c r="P13" s="12"/>
      <c r="Q13" s="10"/>
      <c r="R13" s="10"/>
      <c r="S13" s="10"/>
      <c r="T13" s="10"/>
      <c r="U13" s="10"/>
      <c r="V13" s="9"/>
      <c r="W13" s="12"/>
    </row>
    <row r="14" spans="1:23" ht="17" x14ac:dyDescent="0.25">
      <c r="A14" s="10" t="s">
        <v>79</v>
      </c>
      <c r="B14" s="11">
        <v>44349</v>
      </c>
      <c r="C14" t="s">
        <v>121</v>
      </c>
      <c r="D14" s="12" t="s">
        <v>69</v>
      </c>
      <c r="E14" s="12">
        <v>-4.22</v>
      </c>
      <c r="F14" s="12">
        <v>50.25</v>
      </c>
      <c r="G14" s="13">
        <v>10</v>
      </c>
      <c r="H14" s="13"/>
      <c r="I14" s="9"/>
      <c r="J14" s="9"/>
      <c r="K14" s="12"/>
      <c r="L14" s="12"/>
      <c r="M14" s="18"/>
      <c r="N14" s="18"/>
      <c r="O14" s="18"/>
      <c r="P14" s="18"/>
      <c r="Q14" s="12"/>
      <c r="R14" s="12"/>
      <c r="S14" s="12"/>
      <c r="T14" s="12"/>
      <c r="U14" s="12"/>
      <c r="V14" s="9"/>
      <c r="W14" s="12"/>
    </row>
    <row r="15" spans="1:23" x14ac:dyDescent="0.2">
      <c r="A15" s="10" t="s">
        <v>80</v>
      </c>
      <c r="B15" s="11">
        <v>44354</v>
      </c>
      <c r="C15" t="s">
        <v>121</v>
      </c>
      <c r="D15" s="12" t="s">
        <v>69</v>
      </c>
      <c r="E15" s="12">
        <v>-4.22</v>
      </c>
      <c r="F15" s="12">
        <v>50.25</v>
      </c>
      <c r="G15" s="13">
        <v>10</v>
      </c>
      <c r="H15" s="15">
        <v>35.753361282948582</v>
      </c>
      <c r="I15" s="16">
        <v>13.428863712438803</v>
      </c>
      <c r="J15" s="9"/>
      <c r="K15" s="17"/>
      <c r="L15" s="17"/>
      <c r="M15" s="14"/>
      <c r="N15" s="12"/>
      <c r="O15" s="12"/>
      <c r="P15" s="12"/>
      <c r="Q15" s="10"/>
      <c r="R15" s="10"/>
      <c r="S15" s="10"/>
      <c r="T15" s="10"/>
      <c r="U15" s="10"/>
      <c r="V15" s="9"/>
      <c r="W15" s="12"/>
    </row>
    <row r="16" spans="1:23" x14ac:dyDescent="0.2">
      <c r="A16" s="10" t="s">
        <v>81</v>
      </c>
      <c r="B16" s="11">
        <v>44361</v>
      </c>
      <c r="C16" t="s">
        <v>121</v>
      </c>
      <c r="D16" s="12" t="s">
        <v>69</v>
      </c>
      <c r="E16" s="12">
        <v>-4.22</v>
      </c>
      <c r="F16" s="12">
        <v>50.25</v>
      </c>
      <c r="G16" s="13">
        <v>10</v>
      </c>
      <c r="H16" s="15">
        <v>36.034761639421468</v>
      </c>
      <c r="I16" s="16">
        <v>1.7785728645796686</v>
      </c>
      <c r="J16" s="9"/>
      <c r="K16" s="12"/>
      <c r="L16" s="12"/>
      <c r="M16" s="14"/>
      <c r="N16" s="12"/>
      <c r="O16" s="12"/>
      <c r="P16" s="12"/>
      <c r="Q16" s="10"/>
      <c r="R16" s="10"/>
      <c r="S16" s="10"/>
      <c r="T16" s="10"/>
      <c r="U16" s="10"/>
      <c r="V16" s="9"/>
      <c r="W16" s="12"/>
    </row>
    <row r="17" spans="1:23" x14ac:dyDescent="0.2">
      <c r="A17" s="10" t="s">
        <v>82</v>
      </c>
      <c r="B17" s="11">
        <v>44368</v>
      </c>
      <c r="C17" t="s">
        <v>121</v>
      </c>
      <c r="D17" s="12" t="s">
        <v>69</v>
      </c>
      <c r="E17" s="12">
        <v>-4.22</v>
      </c>
      <c r="F17" s="12">
        <v>50.25</v>
      </c>
      <c r="G17" s="13">
        <v>10</v>
      </c>
      <c r="H17" s="15">
        <v>66.419201575826847</v>
      </c>
      <c r="I17" s="16">
        <v>8.6365090322222215</v>
      </c>
      <c r="J17" s="9"/>
      <c r="K17" s="17"/>
      <c r="L17" s="17"/>
      <c r="M17" s="14"/>
      <c r="N17" s="12"/>
      <c r="O17" s="12"/>
      <c r="P17" s="12"/>
      <c r="Q17" s="10"/>
      <c r="R17" s="10"/>
      <c r="S17" s="10"/>
      <c r="T17" s="10"/>
      <c r="U17" s="10"/>
      <c r="V17" s="9"/>
      <c r="W17" s="12"/>
    </row>
    <row r="18" spans="1:23" x14ac:dyDescent="0.2">
      <c r="A18" s="10" t="s">
        <v>83</v>
      </c>
      <c r="B18" s="11">
        <v>44375</v>
      </c>
      <c r="C18" t="s">
        <v>121</v>
      </c>
      <c r="D18" s="12" t="s">
        <v>69</v>
      </c>
      <c r="E18" s="12">
        <v>-4.22</v>
      </c>
      <c r="F18" s="12">
        <v>50.25</v>
      </c>
      <c r="G18" s="13">
        <v>10</v>
      </c>
      <c r="H18" s="15">
        <v>164.75663953592075</v>
      </c>
      <c r="I18" s="16">
        <v>20.357324077729753</v>
      </c>
      <c r="J18" s="9"/>
      <c r="K18" s="12"/>
      <c r="L18" s="12"/>
      <c r="M18" s="14"/>
      <c r="N18" s="12"/>
      <c r="O18" s="12"/>
      <c r="P18" s="12"/>
      <c r="Q18" s="10"/>
      <c r="R18" s="10"/>
      <c r="S18" s="10"/>
      <c r="T18" s="10"/>
      <c r="U18" s="10"/>
      <c r="V18" s="9"/>
      <c r="W18" s="12"/>
    </row>
    <row r="19" spans="1:23" x14ac:dyDescent="0.2">
      <c r="A19" s="10" t="s">
        <v>84</v>
      </c>
      <c r="B19" s="11">
        <v>44382</v>
      </c>
      <c r="C19" t="s">
        <v>121</v>
      </c>
      <c r="D19" s="12" t="s">
        <v>69</v>
      </c>
      <c r="E19" s="12">
        <v>-4.22</v>
      </c>
      <c r="F19" s="12">
        <v>50.25</v>
      </c>
      <c r="G19" s="13">
        <v>10</v>
      </c>
      <c r="H19" s="9">
        <v>53.196893973317152</v>
      </c>
      <c r="I19" s="9">
        <v>5.4082172505623261</v>
      </c>
      <c r="J19" s="9"/>
      <c r="K19" s="17"/>
      <c r="L19" s="17"/>
      <c r="M19" s="14"/>
      <c r="N19" s="12"/>
      <c r="O19" s="12"/>
      <c r="P19" s="12"/>
      <c r="Q19" s="10"/>
      <c r="R19" s="10"/>
      <c r="S19" s="10"/>
      <c r="T19" s="10"/>
      <c r="U19" s="10"/>
      <c r="V19" s="9"/>
      <c r="W19" s="12"/>
    </row>
    <row r="20" spans="1:23" x14ac:dyDescent="0.2">
      <c r="A20" s="10" t="s">
        <v>85</v>
      </c>
      <c r="B20" s="11">
        <v>44396</v>
      </c>
      <c r="C20" t="s">
        <v>121</v>
      </c>
      <c r="D20" s="12" t="s">
        <v>69</v>
      </c>
      <c r="E20" s="12">
        <v>-4.22</v>
      </c>
      <c r="F20" s="12">
        <v>50.25</v>
      </c>
      <c r="G20" s="13">
        <v>10</v>
      </c>
      <c r="H20" s="9">
        <v>53.511970041359859</v>
      </c>
      <c r="I20" s="13"/>
      <c r="J20" s="9"/>
      <c r="K20" s="17"/>
      <c r="L20" s="17"/>
      <c r="M20" s="14"/>
      <c r="N20" s="12"/>
      <c r="O20" s="12"/>
      <c r="P20" s="12"/>
      <c r="Q20" s="10"/>
      <c r="R20" s="10"/>
      <c r="S20" s="10"/>
      <c r="T20" s="10"/>
      <c r="U20" s="10"/>
      <c r="V20" s="9"/>
      <c r="W20" s="12"/>
    </row>
    <row r="22" spans="1:23" x14ac:dyDescent="0.2">
      <c r="A22" s="10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2CA7-08D6-AA40-86CC-11D3F323CF2C}">
  <dimension ref="A1:G66"/>
  <sheetViews>
    <sheetView zoomScale="75" workbookViewId="0">
      <selection activeCell="E45" sqref="E45"/>
    </sheetView>
  </sheetViews>
  <sheetFormatPr baseColWidth="10" defaultColWidth="11" defaultRowHeight="16" x14ac:dyDescent="0.2"/>
  <cols>
    <col min="2" max="2" width="15.5" customWidth="1"/>
    <col min="3" max="3" width="12.33203125" customWidth="1"/>
    <col min="4" max="4" width="15.6640625" style="12" customWidth="1"/>
    <col min="5" max="5" width="29.6640625" customWidth="1"/>
    <col min="6" max="6" width="33" customWidth="1"/>
    <col min="7" max="7" width="32.5" customWidth="1"/>
  </cols>
  <sheetData>
    <row r="1" spans="1:7" ht="22" x14ac:dyDescent="0.3">
      <c r="A1" s="25" t="s">
        <v>212</v>
      </c>
      <c r="B1" s="1"/>
    </row>
    <row r="2" spans="1:7" x14ac:dyDescent="0.2">
      <c r="A2" s="1"/>
      <c r="B2" s="1"/>
    </row>
    <row r="3" spans="1:7" s="19" customFormat="1" x14ac:dyDescent="0.2">
      <c r="A3" s="19" t="s">
        <v>173</v>
      </c>
      <c r="B3" s="19" t="s">
        <v>172</v>
      </c>
      <c r="C3" s="19" t="s">
        <v>175</v>
      </c>
      <c r="D3" s="38" t="s">
        <v>232</v>
      </c>
      <c r="E3" s="19" t="s">
        <v>177</v>
      </c>
      <c r="F3" s="19" t="s">
        <v>178</v>
      </c>
      <c r="G3" s="19" t="s">
        <v>234</v>
      </c>
    </row>
    <row r="4" spans="1:7" x14ac:dyDescent="0.2">
      <c r="A4" t="s">
        <v>91</v>
      </c>
      <c r="B4" s="6" t="s">
        <v>92</v>
      </c>
      <c r="C4" t="s">
        <v>174</v>
      </c>
      <c r="D4" s="12">
        <v>0.22</v>
      </c>
      <c r="E4" s="39" t="s">
        <v>180</v>
      </c>
      <c r="F4" s="39" t="s">
        <v>181</v>
      </c>
    </row>
    <row r="5" spans="1:7" x14ac:dyDescent="0.2">
      <c r="A5" t="s">
        <v>94</v>
      </c>
      <c r="B5" s="6" t="s">
        <v>92</v>
      </c>
      <c r="C5" t="s">
        <v>174</v>
      </c>
      <c r="D5" s="12">
        <v>0.22</v>
      </c>
      <c r="E5" s="39"/>
      <c r="F5" s="39"/>
    </row>
    <row r="6" spans="1:7" x14ac:dyDescent="0.2">
      <c r="A6" t="s">
        <v>95</v>
      </c>
      <c r="B6" s="6" t="s">
        <v>92</v>
      </c>
      <c r="C6" t="s">
        <v>174</v>
      </c>
      <c r="D6" s="12">
        <v>0.22</v>
      </c>
      <c r="E6" s="39"/>
      <c r="F6" s="39"/>
    </row>
    <row r="7" spans="1:7" x14ac:dyDescent="0.2">
      <c r="A7" t="s">
        <v>96</v>
      </c>
      <c r="B7" s="6" t="s">
        <v>97</v>
      </c>
      <c r="C7" t="s">
        <v>174</v>
      </c>
      <c r="D7" s="12">
        <v>0.22</v>
      </c>
      <c r="E7" s="39"/>
      <c r="F7" s="39"/>
    </row>
    <row r="8" spans="1:7" x14ac:dyDescent="0.2">
      <c r="A8" t="s">
        <v>99</v>
      </c>
      <c r="B8" s="6" t="s">
        <v>97</v>
      </c>
      <c r="C8" t="s">
        <v>174</v>
      </c>
      <c r="D8" s="12">
        <v>0.22</v>
      </c>
      <c r="E8" s="39"/>
      <c r="F8" s="39"/>
    </row>
    <row r="9" spans="1:7" x14ac:dyDescent="0.2">
      <c r="A9" t="s">
        <v>100</v>
      </c>
      <c r="B9" s="6" t="s">
        <v>97</v>
      </c>
      <c r="C9" t="s">
        <v>174</v>
      </c>
      <c r="D9" s="12">
        <v>0.22</v>
      </c>
      <c r="E9" s="39"/>
      <c r="F9" s="39"/>
    </row>
    <row r="10" spans="1:7" x14ac:dyDescent="0.2">
      <c r="A10" t="s">
        <v>101</v>
      </c>
      <c r="B10" s="6" t="s">
        <v>102</v>
      </c>
      <c r="C10" t="s">
        <v>174</v>
      </c>
      <c r="D10" s="12">
        <v>0.22</v>
      </c>
      <c r="E10" s="39"/>
      <c r="F10" s="39"/>
    </row>
    <row r="11" spans="1:7" x14ac:dyDescent="0.2">
      <c r="A11" t="s">
        <v>103</v>
      </c>
      <c r="B11" s="6" t="s">
        <v>102</v>
      </c>
      <c r="C11" t="s">
        <v>174</v>
      </c>
      <c r="D11" s="12">
        <v>0.22</v>
      </c>
      <c r="E11" s="39"/>
      <c r="F11" s="39"/>
    </row>
    <row r="12" spans="1:7" x14ac:dyDescent="0.2">
      <c r="A12" t="s">
        <v>104</v>
      </c>
      <c r="B12" s="6" t="s">
        <v>105</v>
      </c>
      <c r="C12" t="s">
        <v>174</v>
      </c>
      <c r="D12" s="12">
        <v>0.22</v>
      </c>
      <c r="E12" s="39"/>
      <c r="F12" s="39"/>
    </row>
    <row r="13" spans="1:7" x14ac:dyDescent="0.2">
      <c r="A13" t="s">
        <v>106</v>
      </c>
      <c r="B13" s="6" t="s">
        <v>105</v>
      </c>
      <c r="C13" t="s">
        <v>174</v>
      </c>
      <c r="D13" s="12">
        <v>0.22</v>
      </c>
      <c r="E13" s="39"/>
      <c r="F13" s="39"/>
    </row>
    <row r="14" spans="1:7" x14ac:dyDescent="0.2">
      <c r="A14" t="s">
        <v>107</v>
      </c>
      <c r="B14" s="6" t="s">
        <v>105</v>
      </c>
      <c r="C14" t="s">
        <v>174</v>
      </c>
      <c r="D14" s="12">
        <v>0.22</v>
      </c>
      <c r="E14" s="39"/>
      <c r="F14" s="39"/>
    </row>
    <row r="15" spans="1:7" x14ac:dyDescent="0.2">
      <c r="A15" t="s">
        <v>108</v>
      </c>
      <c r="B15" s="6" t="s">
        <v>109</v>
      </c>
      <c r="C15" t="s">
        <v>174</v>
      </c>
      <c r="D15" s="12">
        <v>0.22</v>
      </c>
      <c r="E15" s="39"/>
      <c r="F15" s="39"/>
    </row>
    <row r="16" spans="1:7" x14ac:dyDescent="0.2">
      <c r="A16" t="s">
        <v>110</v>
      </c>
      <c r="B16" s="6" t="s">
        <v>109</v>
      </c>
      <c r="C16" t="s">
        <v>174</v>
      </c>
      <c r="D16" s="12">
        <v>0.22</v>
      </c>
      <c r="E16" s="39"/>
      <c r="F16" s="39"/>
    </row>
    <row r="17" spans="1:6" x14ac:dyDescent="0.2">
      <c r="A17" t="s">
        <v>111</v>
      </c>
      <c r="B17" s="6" t="s">
        <v>112</v>
      </c>
      <c r="C17" t="s">
        <v>174</v>
      </c>
      <c r="D17" s="12">
        <v>0.22</v>
      </c>
      <c r="E17" s="39"/>
      <c r="F17" s="39"/>
    </row>
    <row r="18" spans="1:6" x14ac:dyDescent="0.2">
      <c r="A18" t="s">
        <v>113</v>
      </c>
      <c r="B18" s="6" t="s">
        <v>112</v>
      </c>
      <c r="C18" t="s">
        <v>174</v>
      </c>
      <c r="D18" s="12">
        <v>0.22</v>
      </c>
      <c r="E18" s="39"/>
      <c r="F18" s="39"/>
    </row>
    <row r="19" spans="1:6" x14ac:dyDescent="0.2">
      <c r="A19" t="s">
        <v>114</v>
      </c>
      <c r="B19" s="6" t="s">
        <v>112</v>
      </c>
      <c r="C19" t="s">
        <v>174</v>
      </c>
      <c r="D19" s="12">
        <v>0.22</v>
      </c>
      <c r="E19" s="39"/>
      <c r="F19" s="39"/>
    </row>
    <row r="20" spans="1:6" x14ac:dyDescent="0.2">
      <c r="A20" t="s">
        <v>115</v>
      </c>
      <c r="B20" s="6" t="s">
        <v>116</v>
      </c>
      <c r="C20" t="s">
        <v>174</v>
      </c>
      <c r="D20" s="12">
        <v>0.22</v>
      </c>
      <c r="E20" s="39"/>
      <c r="F20" s="39"/>
    </row>
    <row r="21" spans="1:6" x14ac:dyDescent="0.2">
      <c r="A21" t="s">
        <v>117</v>
      </c>
      <c r="B21" s="6" t="s">
        <v>116</v>
      </c>
      <c r="C21" t="s">
        <v>174</v>
      </c>
      <c r="D21" s="12">
        <v>0.22</v>
      </c>
      <c r="E21" s="39"/>
      <c r="F21" s="39"/>
    </row>
    <row r="22" spans="1:6" x14ac:dyDescent="0.2">
      <c r="A22" t="s">
        <v>118</v>
      </c>
      <c r="B22" s="6" t="s">
        <v>116</v>
      </c>
      <c r="C22" t="s">
        <v>174</v>
      </c>
      <c r="D22" s="12">
        <v>0.22</v>
      </c>
      <c r="E22" s="39"/>
      <c r="F22" s="39"/>
    </row>
    <row r="23" spans="1:6" x14ac:dyDescent="0.2">
      <c r="A23" t="s">
        <v>119</v>
      </c>
      <c r="B23" s="6" t="s">
        <v>120</v>
      </c>
      <c r="C23" t="s">
        <v>174</v>
      </c>
      <c r="D23" s="12">
        <v>0.22</v>
      </c>
      <c r="E23" s="39"/>
      <c r="F23" s="39"/>
    </row>
    <row r="24" spans="1:6" x14ac:dyDescent="0.2">
      <c r="A24" t="s">
        <v>122</v>
      </c>
      <c r="B24" s="6" t="s">
        <v>120</v>
      </c>
      <c r="C24" t="s">
        <v>174</v>
      </c>
      <c r="D24" s="12">
        <v>0.22</v>
      </c>
      <c r="E24" s="39"/>
      <c r="F24" s="39"/>
    </row>
    <row r="25" spans="1:6" x14ac:dyDescent="0.2">
      <c r="A25" t="s">
        <v>123</v>
      </c>
      <c r="B25" s="6" t="s">
        <v>120</v>
      </c>
      <c r="C25" t="s">
        <v>174</v>
      </c>
      <c r="D25" s="12">
        <v>0.22</v>
      </c>
      <c r="E25" s="39"/>
      <c r="F25" s="39"/>
    </row>
    <row r="26" spans="1:6" x14ac:dyDescent="0.2">
      <c r="A26" t="s">
        <v>124</v>
      </c>
      <c r="B26" s="6" t="s">
        <v>125</v>
      </c>
      <c r="C26" t="s">
        <v>174</v>
      </c>
      <c r="D26" s="12">
        <v>0.22</v>
      </c>
      <c r="E26" s="39"/>
      <c r="F26" s="39"/>
    </row>
    <row r="27" spans="1:6" x14ac:dyDescent="0.2">
      <c r="A27" t="s">
        <v>126</v>
      </c>
      <c r="B27" s="6" t="s">
        <v>125</v>
      </c>
      <c r="C27" t="s">
        <v>174</v>
      </c>
      <c r="D27" s="12">
        <v>0.22</v>
      </c>
      <c r="E27" s="39"/>
      <c r="F27" s="39"/>
    </row>
    <row r="28" spans="1:6" x14ac:dyDescent="0.2">
      <c r="A28" t="s">
        <v>127</v>
      </c>
      <c r="B28" s="6" t="s">
        <v>125</v>
      </c>
      <c r="C28" t="s">
        <v>174</v>
      </c>
      <c r="D28" s="12">
        <v>0.22</v>
      </c>
      <c r="E28" s="39"/>
      <c r="F28" s="39"/>
    </row>
    <row r="29" spans="1:6" x14ac:dyDescent="0.2">
      <c r="A29" t="s">
        <v>128</v>
      </c>
      <c r="B29" s="6" t="s">
        <v>129</v>
      </c>
      <c r="C29" t="s">
        <v>174</v>
      </c>
      <c r="D29" s="12">
        <v>0.22</v>
      </c>
      <c r="E29" s="39"/>
      <c r="F29" s="39"/>
    </row>
    <row r="30" spans="1:6" x14ac:dyDescent="0.2">
      <c r="A30" t="s">
        <v>130</v>
      </c>
      <c r="B30" s="6" t="s">
        <v>129</v>
      </c>
      <c r="C30" t="s">
        <v>174</v>
      </c>
      <c r="D30" s="12">
        <v>0.22</v>
      </c>
      <c r="E30" s="39"/>
      <c r="F30" s="39"/>
    </row>
    <row r="31" spans="1:6" x14ac:dyDescent="0.2">
      <c r="A31" t="s">
        <v>131</v>
      </c>
      <c r="B31" s="6" t="s">
        <v>132</v>
      </c>
      <c r="C31" t="s">
        <v>174</v>
      </c>
      <c r="D31" s="12">
        <v>0.22</v>
      </c>
      <c r="E31" s="39"/>
      <c r="F31" s="39"/>
    </row>
    <row r="32" spans="1:6" x14ac:dyDescent="0.2">
      <c r="A32" t="s">
        <v>133</v>
      </c>
      <c r="B32" s="6" t="s">
        <v>132</v>
      </c>
      <c r="C32" t="s">
        <v>174</v>
      </c>
      <c r="D32" s="12">
        <v>0.22</v>
      </c>
      <c r="E32" s="39"/>
      <c r="F32" s="39"/>
    </row>
    <row r="33" spans="1:7" x14ac:dyDescent="0.2">
      <c r="A33" t="s">
        <v>134</v>
      </c>
      <c r="B33" s="6" t="s">
        <v>132</v>
      </c>
      <c r="C33" t="s">
        <v>174</v>
      </c>
      <c r="D33" s="12">
        <v>0.22</v>
      </c>
      <c r="E33" s="39"/>
      <c r="F33" s="39"/>
    </row>
    <row r="34" spans="1:7" x14ac:dyDescent="0.2">
      <c r="A34" t="s">
        <v>135</v>
      </c>
      <c r="B34" s="6" t="s">
        <v>136</v>
      </c>
      <c r="C34" t="s">
        <v>174</v>
      </c>
      <c r="D34" s="12">
        <v>0.22</v>
      </c>
      <c r="E34" s="39"/>
      <c r="F34" s="39"/>
    </row>
    <row r="35" spans="1:7" x14ac:dyDescent="0.2">
      <c r="A35" t="s">
        <v>137</v>
      </c>
      <c r="B35" s="6" t="s">
        <v>136</v>
      </c>
      <c r="C35" t="s">
        <v>174</v>
      </c>
      <c r="D35" s="12">
        <v>0.22</v>
      </c>
      <c r="E35" s="39"/>
      <c r="F35" s="39"/>
    </row>
    <row r="36" spans="1:7" x14ac:dyDescent="0.2">
      <c r="A36" t="s">
        <v>138</v>
      </c>
      <c r="B36" s="6" t="s">
        <v>136</v>
      </c>
      <c r="C36" t="s">
        <v>174</v>
      </c>
      <c r="D36" s="12">
        <v>0.22</v>
      </c>
      <c r="E36" s="39"/>
      <c r="F36" s="39"/>
    </row>
    <row r="37" spans="1:7" x14ac:dyDescent="0.2">
      <c r="A37" t="s">
        <v>139</v>
      </c>
      <c r="B37" s="6" t="s">
        <v>92</v>
      </c>
      <c r="C37" t="s">
        <v>176</v>
      </c>
      <c r="D37" s="12">
        <v>0.22</v>
      </c>
      <c r="G37" s="39" t="s">
        <v>179</v>
      </c>
    </row>
    <row r="38" spans="1:7" x14ac:dyDescent="0.2">
      <c r="A38" t="s">
        <v>140</v>
      </c>
      <c r="B38" s="6" t="s">
        <v>92</v>
      </c>
      <c r="C38" t="s">
        <v>176</v>
      </c>
      <c r="D38" s="12">
        <v>0.22</v>
      </c>
      <c r="G38" s="39"/>
    </row>
    <row r="39" spans="1:7" x14ac:dyDescent="0.2">
      <c r="A39" t="s">
        <v>141</v>
      </c>
      <c r="B39" s="6" t="s">
        <v>92</v>
      </c>
      <c r="C39" t="s">
        <v>176</v>
      </c>
      <c r="D39" s="12">
        <v>0.22</v>
      </c>
      <c r="G39" s="39"/>
    </row>
    <row r="40" spans="1:7" x14ac:dyDescent="0.2">
      <c r="A40" t="s">
        <v>142</v>
      </c>
      <c r="B40" s="6" t="s">
        <v>97</v>
      </c>
      <c r="C40" t="s">
        <v>176</v>
      </c>
      <c r="D40" s="12">
        <v>0.22</v>
      </c>
      <c r="G40" s="39"/>
    </row>
    <row r="41" spans="1:7" x14ac:dyDescent="0.2">
      <c r="A41" t="s">
        <v>143</v>
      </c>
      <c r="B41" s="6" t="s">
        <v>97</v>
      </c>
      <c r="C41" t="s">
        <v>176</v>
      </c>
      <c r="D41" s="12">
        <v>0.22</v>
      </c>
      <c r="G41" s="39"/>
    </row>
    <row r="42" spans="1:7" x14ac:dyDescent="0.2">
      <c r="A42" t="s">
        <v>144</v>
      </c>
      <c r="B42" s="6" t="s">
        <v>97</v>
      </c>
      <c r="C42" t="s">
        <v>176</v>
      </c>
      <c r="D42" s="12">
        <v>0.22</v>
      </c>
      <c r="G42" s="39"/>
    </row>
    <row r="43" spans="1:7" x14ac:dyDescent="0.2">
      <c r="A43" t="s">
        <v>145</v>
      </c>
      <c r="B43" s="6" t="s">
        <v>102</v>
      </c>
      <c r="C43" t="s">
        <v>176</v>
      </c>
      <c r="D43" s="12">
        <v>0.22</v>
      </c>
      <c r="G43" s="39"/>
    </row>
    <row r="44" spans="1:7" x14ac:dyDescent="0.2">
      <c r="A44" t="s">
        <v>146</v>
      </c>
      <c r="B44" s="6" t="s">
        <v>102</v>
      </c>
      <c r="C44" t="s">
        <v>176</v>
      </c>
      <c r="D44" s="12">
        <v>0.22</v>
      </c>
      <c r="G44" s="39"/>
    </row>
    <row r="45" spans="1:7" x14ac:dyDescent="0.2">
      <c r="A45" t="s">
        <v>147</v>
      </c>
      <c r="B45" s="6" t="s">
        <v>148</v>
      </c>
      <c r="C45" t="s">
        <v>176</v>
      </c>
      <c r="D45" s="12">
        <v>0.22</v>
      </c>
      <c r="G45" s="39"/>
    </row>
    <row r="46" spans="1:7" x14ac:dyDescent="0.2">
      <c r="A46" t="s">
        <v>149</v>
      </c>
      <c r="B46" s="6" t="s">
        <v>148</v>
      </c>
      <c r="C46" t="s">
        <v>176</v>
      </c>
      <c r="D46" s="12">
        <v>0.22</v>
      </c>
      <c r="G46" s="39"/>
    </row>
    <row r="47" spans="1:7" x14ac:dyDescent="0.2">
      <c r="A47" t="s">
        <v>150</v>
      </c>
      <c r="B47" s="6" t="s">
        <v>109</v>
      </c>
      <c r="C47" t="s">
        <v>176</v>
      </c>
      <c r="D47" s="12">
        <v>0.22</v>
      </c>
      <c r="G47" s="39"/>
    </row>
    <row r="48" spans="1:7" x14ac:dyDescent="0.2">
      <c r="A48" t="s">
        <v>151</v>
      </c>
      <c r="B48" s="6" t="s">
        <v>109</v>
      </c>
      <c r="C48" t="s">
        <v>176</v>
      </c>
      <c r="D48" s="12">
        <v>0.22</v>
      </c>
      <c r="G48" s="39"/>
    </row>
    <row r="49" spans="1:7" x14ac:dyDescent="0.2">
      <c r="A49" t="s">
        <v>152</v>
      </c>
      <c r="B49" s="6" t="s">
        <v>112</v>
      </c>
      <c r="C49" t="s">
        <v>176</v>
      </c>
      <c r="D49" s="12">
        <v>0.22</v>
      </c>
      <c r="G49" s="39"/>
    </row>
    <row r="50" spans="1:7" x14ac:dyDescent="0.2">
      <c r="A50" t="s">
        <v>153</v>
      </c>
      <c r="B50" s="6" t="s">
        <v>112</v>
      </c>
      <c r="C50" t="s">
        <v>176</v>
      </c>
      <c r="D50" s="12">
        <v>0.22</v>
      </c>
      <c r="G50" s="39"/>
    </row>
    <row r="51" spans="1:7" x14ac:dyDescent="0.2">
      <c r="A51" t="s">
        <v>154</v>
      </c>
      <c r="B51" s="6" t="s">
        <v>112</v>
      </c>
      <c r="C51" t="s">
        <v>176</v>
      </c>
      <c r="D51" s="12">
        <v>0.22</v>
      </c>
      <c r="G51" s="39"/>
    </row>
    <row r="52" spans="1:7" x14ac:dyDescent="0.2">
      <c r="A52" t="s">
        <v>155</v>
      </c>
      <c r="B52" s="6" t="s">
        <v>116</v>
      </c>
      <c r="C52" t="s">
        <v>176</v>
      </c>
      <c r="D52" s="12">
        <v>0.22</v>
      </c>
      <c r="G52" s="39"/>
    </row>
    <row r="53" spans="1:7" x14ac:dyDescent="0.2">
      <c r="A53" t="s">
        <v>156</v>
      </c>
      <c r="B53" s="6" t="s">
        <v>116</v>
      </c>
      <c r="C53" t="s">
        <v>176</v>
      </c>
      <c r="D53" s="12">
        <v>0.22</v>
      </c>
      <c r="G53" s="39"/>
    </row>
    <row r="54" spans="1:7" x14ac:dyDescent="0.2">
      <c r="A54" t="s">
        <v>157</v>
      </c>
      <c r="B54" s="6" t="s">
        <v>116</v>
      </c>
      <c r="C54" t="s">
        <v>176</v>
      </c>
      <c r="D54" s="12">
        <v>0.22</v>
      </c>
      <c r="G54" s="39"/>
    </row>
    <row r="55" spans="1:7" x14ac:dyDescent="0.2">
      <c r="A55" t="s">
        <v>158</v>
      </c>
      <c r="B55" s="6" t="s">
        <v>120</v>
      </c>
      <c r="C55" t="s">
        <v>176</v>
      </c>
      <c r="D55" s="12">
        <v>0.22</v>
      </c>
      <c r="G55" s="39"/>
    </row>
    <row r="56" spans="1:7" x14ac:dyDescent="0.2">
      <c r="A56" t="s">
        <v>159</v>
      </c>
      <c r="B56" s="6" t="s">
        <v>120</v>
      </c>
      <c r="C56" t="s">
        <v>176</v>
      </c>
      <c r="D56" s="12">
        <v>0.22</v>
      </c>
      <c r="G56" s="39"/>
    </row>
    <row r="57" spans="1:7" x14ac:dyDescent="0.2">
      <c r="A57" t="s">
        <v>160</v>
      </c>
      <c r="B57" s="6" t="s">
        <v>120</v>
      </c>
      <c r="C57" t="s">
        <v>176</v>
      </c>
      <c r="D57" s="12">
        <v>0.22</v>
      </c>
      <c r="G57" s="39"/>
    </row>
    <row r="58" spans="1:7" x14ac:dyDescent="0.2">
      <c r="A58" t="s">
        <v>161</v>
      </c>
      <c r="B58" s="6" t="s">
        <v>162</v>
      </c>
      <c r="C58" t="s">
        <v>176</v>
      </c>
      <c r="D58" s="12">
        <v>0.22</v>
      </c>
      <c r="G58" s="39"/>
    </row>
    <row r="59" spans="1:7" x14ac:dyDescent="0.2">
      <c r="A59" t="s">
        <v>163</v>
      </c>
      <c r="B59" s="6" t="s">
        <v>162</v>
      </c>
      <c r="C59" t="s">
        <v>176</v>
      </c>
      <c r="D59" s="12">
        <v>0.22</v>
      </c>
      <c r="G59" s="39"/>
    </row>
    <row r="60" spans="1:7" x14ac:dyDescent="0.2">
      <c r="A60" t="s">
        <v>164</v>
      </c>
      <c r="B60" s="6" t="s">
        <v>129</v>
      </c>
      <c r="C60" t="s">
        <v>176</v>
      </c>
      <c r="D60" s="12">
        <v>0.22</v>
      </c>
      <c r="G60" s="39"/>
    </row>
    <row r="61" spans="1:7" x14ac:dyDescent="0.2">
      <c r="A61" t="s">
        <v>165</v>
      </c>
      <c r="B61" s="6" t="s">
        <v>129</v>
      </c>
      <c r="C61" t="s">
        <v>176</v>
      </c>
      <c r="D61" s="12">
        <v>0.22</v>
      </c>
      <c r="G61" s="39"/>
    </row>
    <row r="62" spans="1:7" x14ac:dyDescent="0.2">
      <c r="A62" t="s">
        <v>166</v>
      </c>
      <c r="B62" s="6" t="s">
        <v>167</v>
      </c>
      <c r="C62" t="s">
        <v>176</v>
      </c>
      <c r="D62" s="12">
        <v>0.22</v>
      </c>
      <c r="G62" s="39"/>
    </row>
    <row r="63" spans="1:7" x14ac:dyDescent="0.2">
      <c r="A63" t="s">
        <v>168</v>
      </c>
      <c r="B63" s="6" t="s">
        <v>167</v>
      </c>
      <c r="C63" t="s">
        <v>176</v>
      </c>
      <c r="D63" s="12">
        <v>0.22</v>
      </c>
      <c r="G63" s="39"/>
    </row>
    <row r="64" spans="1:7" x14ac:dyDescent="0.2">
      <c r="A64" t="s">
        <v>169</v>
      </c>
      <c r="B64" s="1" t="s">
        <v>136</v>
      </c>
      <c r="C64" t="s">
        <v>176</v>
      </c>
      <c r="D64" s="12">
        <v>0.22</v>
      </c>
      <c r="G64" s="39"/>
    </row>
    <row r="65" spans="1:7" x14ac:dyDescent="0.2">
      <c r="A65" t="s">
        <v>170</v>
      </c>
      <c r="B65" s="1" t="s">
        <v>136</v>
      </c>
      <c r="C65" t="s">
        <v>176</v>
      </c>
      <c r="D65" s="12">
        <v>0.22</v>
      </c>
      <c r="G65" s="39"/>
    </row>
    <row r="66" spans="1:7" x14ac:dyDescent="0.2">
      <c r="A66" t="s">
        <v>171</v>
      </c>
      <c r="B66" s="1" t="s">
        <v>136</v>
      </c>
      <c r="C66" t="s">
        <v>176</v>
      </c>
      <c r="D66" s="12">
        <v>0.22</v>
      </c>
      <c r="G66" s="39"/>
    </row>
  </sheetData>
  <mergeCells count="3">
    <mergeCell ref="E4:E36"/>
    <mergeCell ref="F4:F36"/>
    <mergeCell ref="G37:G66"/>
  </mergeCells>
  <phoneticPr fontId="18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F3E3-02AC-EA4C-A5DB-86B5E7382686}">
  <dimension ref="A1:P32"/>
  <sheetViews>
    <sheetView workbookViewId="0"/>
  </sheetViews>
  <sheetFormatPr baseColWidth="10" defaultColWidth="11" defaultRowHeight="16" x14ac:dyDescent="0.2"/>
  <cols>
    <col min="1" max="1" width="26.1640625" customWidth="1"/>
    <col min="2" max="2" width="27.1640625" customWidth="1"/>
    <col min="15" max="15" width="19.5" customWidth="1"/>
  </cols>
  <sheetData>
    <row r="1" spans="1:16" ht="24" x14ac:dyDescent="0.3">
      <c r="A1" s="25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x14ac:dyDescent="0.2">
      <c r="A3" s="34" t="s">
        <v>216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</row>
    <row r="4" spans="1:16" x14ac:dyDescent="0.2">
      <c r="A4" s="39" t="s">
        <v>15</v>
      </c>
      <c r="B4" s="6" t="s">
        <v>16</v>
      </c>
      <c r="C4" s="6">
        <v>0.24684002999999999</v>
      </c>
      <c r="D4" s="6">
        <v>0.134660267</v>
      </c>
      <c r="E4" s="6">
        <v>0</v>
      </c>
      <c r="F4" s="6">
        <v>3.4000032999999999E-2</v>
      </c>
      <c r="G4" s="6">
        <v>0</v>
      </c>
      <c r="H4" s="6">
        <v>2.7133330000000001E-3</v>
      </c>
      <c r="I4" s="6">
        <v>0.28429460000000001</v>
      </c>
      <c r="J4" s="6">
        <v>0.31899129999999998</v>
      </c>
      <c r="K4" s="6">
        <v>0.83045460000000004</v>
      </c>
      <c r="L4" s="6">
        <v>1.9145300000000001E-2</v>
      </c>
      <c r="M4" s="6">
        <v>0.13644419999999999</v>
      </c>
      <c r="N4" s="6">
        <v>0.51783360000000001</v>
      </c>
      <c r="O4" s="6" t="str">
        <f t="shared" ref="O4:O27" si="0">TEXT(MIN(C4:N4),"0.00000")&amp;" - "&amp;TEXT(MAX(C4:N4),"0.00000")</f>
        <v>0.00000 - 0.83045</v>
      </c>
      <c r="P4" s="6">
        <f t="shared" ref="P4:P27" si="1">AVERAGE(C4:N4)</f>
        <v>0.21044810524999999</v>
      </c>
    </row>
    <row r="5" spans="1:16" x14ac:dyDescent="0.2">
      <c r="A5" s="39"/>
      <c r="B5" s="6" t="s">
        <v>17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1.2264600000000001E-2</v>
      </c>
      <c r="J5" s="6">
        <v>0.16405359999999999</v>
      </c>
      <c r="K5" s="6">
        <v>5.09808E-2</v>
      </c>
      <c r="L5" s="6">
        <v>0</v>
      </c>
      <c r="M5" s="6">
        <v>1.792587E-2</v>
      </c>
      <c r="N5" s="6">
        <v>0</v>
      </c>
      <c r="O5" s="6" t="str">
        <f t="shared" si="0"/>
        <v>0.00000 - 0.16405</v>
      </c>
      <c r="P5" s="6">
        <f t="shared" si="1"/>
        <v>2.0435405833333333E-2</v>
      </c>
    </row>
    <row r="6" spans="1:16" x14ac:dyDescent="0.2">
      <c r="A6" s="39"/>
      <c r="B6" s="6" t="s">
        <v>213</v>
      </c>
      <c r="C6" s="6">
        <f>SUM(C4:C5)</f>
        <v>0.24684002999999999</v>
      </c>
      <c r="D6" s="6">
        <f t="shared" ref="D6:N6" si="2">SUM(D4:D5)</f>
        <v>0.134660267</v>
      </c>
      <c r="E6" s="6">
        <f t="shared" si="2"/>
        <v>0</v>
      </c>
      <c r="F6" s="6">
        <f t="shared" si="2"/>
        <v>3.4000032999999999E-2</v>
      </c>
      <c r="G6" s="6">
        <f t="shared" si="2"/>
        <v>0</v>
      </c>
      <c r="H6" s="6">
        <f t="shared" si="2"/>
        <v>2.7133330000000001E-3</v>
      </c>
      <c r="I6" s="6">
        <f t="shared" si="2"/>
        <v>0.29655920000000002</v>
      </c>
      <c r="J6" s="6">
        <f t="shared" si="2"/>
        <v>0.4830449</v>
      </c>
      <c r="K6" s="6">
        <f t="shared" si="2"/>
        <v>0.88143540000000009</v>
      </c>
      <c r="L6" s="6">
        <f t="shared" si="2"/>
        <v>1.9145300000000001E-2</v>
      </c>
      <c r="M6" s="6">
        <f t="shared" si="2"/>
        <v>0.15437007</v>
      </c>
      <c r="N6" s="6">
        <f t="shared" si="2"/>
        <v>0.51783360000000001</v>
      </c>
      <c r="O6" s="6" t="str">
        <f t="shared" ref="O6" si="3">TEXT(MIN(C6:N6),"0.00000")&amp;" - "&amp;TEXT(MAX(C6:N6),"0.00000")</f>
        <v>0.00000 - 0.88144</v>
      </c>
      <c r="P6" s="6">
        <f t="shared" ref="P6" si="4">AVERAGE(C6:N6)</f>
        <v>0.23088351108333335</v>
      </c>
    </row>
    <row r="7" spans="1:16" x14ac:dyDescent="0.2">
      <c r="A7" s="39" t="s">
        <v>18</v>
      </c>
      <c r="B7" s="6" t="s">
        <v>19</v>
      </c>
      <c r="C7" s="6">
        <v>0</v>
      </c>
      <c r="D7" s="6">
        <v>5.2716000000000004E-3</v>
      </c>
      <c r="E7" s="6">
        <v>0.10229445</v>
      </c>
      <c r="F7" s="6">
        <v>2.09331E-2</v>
      </c>
      <c r="G7" s="6">
        <v>0.30957299999999999</v>
      </c>
      <c r="H7" s="6">
        <v>0.56789586700000005</v>
      </c>
      <c r="I7" s="6">
        <v>0.41904469999999999</v>
      </c>
      <c r="J7" s="6">
        <v>0.39173789999999997</v>
      </c>
      <c r="K7" s="6">
        <v>0.12977900000000001</v>
      </c>
      <c r="L7" s="6">
        <v>3.2173E-2</v>
      </c>
      <c r="M7" s="6">
        <v>0</v>
      </c>
      <c r="N7" s="6">
        <v>2.4933329999999999E-3</v>
      </c>
      <c r="O7" s="6" t="str">
        <f t="shared" si="0"/>
        <v>0.00000 - 0.56790</v>
      </c>
      <c r="P7" s="6">
        <f t="shared" si="1"/>
        <v>0.16509966249999999</v>
      </c>
    </row>
    <row r="8" spans="1:16" x14ac:dyDescent="0.2">
      <c r="A8" s="39"/>
      <c r="B8" s="6" t="s">
        <v>20</v>
      </c>
      <c r="C8" s="6">
        <v>1.9359462700000001</v>
      </c>
      <c r="D8" s="6">
        <v>3.164292433</v>
      </c>
      <c r="E8" s="6">
        <v>0.34148295000000001</v>
      </c>
      <c r="F8" s="6">
        <v>2.6905557</v>
      </c>
      <c r="G8" s="6">
        <v>3.9207649999999997E-2</v>
      </c>
      <c r="H8" s="6">
        <v>0.19504440000000001</v>
      </c>
      <c r="I8" s="6">
        <v>1.8244523699999999</v>
      </c>
      <c r="J8" s="6">
        <v>0.47674</v>
      </c>
      <c r="K8" s="6">
        <v>1.1636645699999999</v>
      </c>
      <c r="L8" s="6">
        <v>1.5384168</v>
      </c>
      <c r="M8" s="6">
        <v>2.5761493</v>
      </c>
      <c r="N8" s="6">
        <v>2.3400360999999998</v>
      </c>
      <c r="O8" s="6" t="str">
        <f t="shared" si="0"/>
        <v>0.03921 - 3.16429</v>
      </c>
      <c r="P8" s="6">
        <f t="shared" si="1"/>
        <v>1.5238323785833332</v>
      </c>
    </row>
    <row r="9" spans="1:16" x14ac:dyDescent="0.2">
      <c r="A9" s="39"/>
      <c r="B9" s="6" t="s">
        <v>21</v>
      </c>
      <c r="C9" s="6">
        <v>3.0636699999999999E-2</v>
      </c>
      <c r="D9" s="6">
        <v>6.6467330000000002E-3</v>
      </c>
      <c r="E9" s="6">
        <v>0.27114814999999998</v>
      </c>
      <c r="F9" s="6">
        <v>4.1103329999999999E-3</v>
      </c>
      <c r="G9" s="6">
        <v>0.12880985</v>
      </c>
      <c r="H9" s="6">
        <v>1.9064932999999999E-2</v>
      </c>
      <c r="I9" s="6">
        <v>9.1905329999999993E-2</v>
      </c>
      <c r="J9" s="6">
        <v>0.1060787</v>
      </c>
      <c r="K9" s="6">
        <v>0.12746167</v>
      </c>
      <c r="L9" s="6">
        <v>7.5723849999999995E-2</v>
      </c>
      <c r="M9" s="6">
        <v>0.13675880000000001</v>
      </c>
      <c r="N9" s="6">
        <v>0.22504479999999999</v>
      </c>
      <c r="O9" s="6" t="str">
        <f t="shared" si="0"/>
        <v>0.00411 - 0.27115</v>
      </c>
      <c r="P9" s="6">
        <f t="shared" si="1"/>
        <v>0.10194915408333333</v>
      </c>
    </row>
    <row r="10" spans="1:16" x14ac:dyDescent="0.2">
      <c r="A10" s="39"/>
      <c r="B10" s="6" t="s">
        <v>22</v>
      </c>
      <c r="C10" s="6">
        <v>13.89808017</v>
      </c>
      <c r="D10" s="6">
        <v>13.150979433</v>
      </c>
      <c r="E10" s="6">
        <v>6.3584458499999998</v>
      </c>
      <c r="F10" s="6">
        <v>19.568600966999998</v>
      </c>
      <c r="G10" s="6">
        <v>3.1611959000000001</v>
      </c>
      <c r="H10" s="6">
        <v>17.248613500000001</v>
      </c>
      <c r="I10" s="6">
        <v>12.80424827</v>
      </c>
      <c r="J10" s="6">
        <v>14.4871994</v>
      </c>
      <c r="K10" s="6">
        <v>11.0499028</v>
      </c>
      <c r="L10" s="6">
        <v>1.2362252</v>
      </c>
      <c r="M10" s="6">
        <v>13.307978670000001</v>
      </c>
      <c r="N10" s="6">
        <v>11.819475167</v>
      </c>
      <c r="O10" s="6" t="str">
        <f t="shared" si="0"/>
        <v>1.23623 - 19.56860</v>
      </c>
      <c r="P10" s="6">
        <f t="shared" si="1"/>
        <v>11.507578777249998</v>
      </c>
    </row>
    <row r="11" spans="1:16" x14ac:dyDescent="0.2">
      <c r="A11" s="39"/>
      <c r="B11" s="6" t="s">
        <v>23</v>
      </c>
      <c r="C11" s="6">
        <v>1.4243623700000001</v>
      </c>
      <c r="D11" s="6">
        <v>1.768450667</v>
      </c>
      <c r="E11" s="6">
        <v>0.76669670000000001</v>
      </c>
      <c r="F11" s="6">
        <v>1.359239367</v>
      </c>
      <c r="G11" s="6">
        <v>0.2579436</v>
      </c>
      <c r="H11" s="6">
        <v>1.7442934329999999</v>
      </c>
      <c r="I11" s="6">
        <v>2.1849398</v>
      </c>
      <c r="J11" s="6">
        <v>1.7650644</v>
      </c>
      <c r="K11" s="6">
        <v>2.5871569299999999</v>
      </c>
      <c r="L11" s="6">
        <v>1.9227780999999999</v>
      </c>
      <c r="M11" s="6">
        <v>5.9686631999999999</v>
      </c>
      <c r="N11" s="6">
        <v>4.6264015330000001</v>
      </c>
      <c r="O11" s="6" t="str">
        <f t="shared" si="0"/>
        <v>0.25794 - 5.96866</v>
      </c>
      <c r="P11" s="6">
        <f t="shared" si="1"/>
        <v>2.1979991750000001</v>
      </c>
    </row>
    <row r="12" spans="1:16" x14ac:dyDescent="0.2">
      <c r="A12" s="39"/>
      <c r="B12" s="6" t="s">
        <v>24</v>
      </c>
      <c r="C12" s="6">
        <v>7.7735363</v>
      </c>
      <c r="D12" s="6">
        <v>10.353366833000001</v>
      </c>
      <c r="E12" s="6">
        <v>4.0024394499999998</v>
      </c>
      <c r="F12" s="6">
        <v>19.267680067000001</v>
      </c>
      <c r="G12" s="6">
        <v>2.2158920499999999</v>
      </c>
      <c r="H12" s="6">
        <v>15.544152833</v>
      </c>
      <c r="I12" s="6">
        <v>9.1100235999999999</v>
      </c>
      <c r="J12" s="6">
        <v>12.806495099999999</v>
      </c>
      <c r="K12" s="6">
        <v>8.0455813299999992</v>
      </c>
      <c r="L12" s="6">
        <v>0.93611244999999998</v>
      </c>
      <c r="M12" s="6">
        <v>9.9402675699999996</v>
      </c>
      <c r="N12" s="6">
        <v>10.054804467</v>
      </c>
      <c r="O12" s="6" t="str">
        <f t="shared" si="0"/>
        <v>0.93611 - 19.26768</v>
      </c>
      <c r="P12" s="6">
        <f t="shared" si="1"/>
        <v>9.1708626708333316</v>
      </c>
    </row>
    <row r="13" spans="1:16" x14ac:dyDescent="0.2">
      <c r="A13" s="39"/>
      <c r="B13" s="6" t="s">
        <v>25</v>
      </c>
      <c r="C13" s="6">
        <v>0.90642290000000003</v>
      </c>
      <c r="D13" s="6">
        <v>0.93233893300000004</v>
      </c>
      <c r="E13" s="6">
        <v>0.49120550000000002</v>
      </c>
      <c r="F13" s="6">
        <v>1.5329110669999999</v>
      </c>
      <c r="G13" s="6">
        <v>1.4145658999999999</v>
      </c>
      <c r="H13" s="6">
        <v>4.3823623999999999</v>
      </c>
      <c r="I13" s="6">
        <v>3.1514768700000002</v>
      </c>
      <c r="J13" s="6">
        <v>2.5652398000000001</v>
      </c>
      <c r="K13" s="6">
        <v>3.5582829999999999</v>
      </c>
      <c r="L13" s="6">
        <v>0.55060889999999996</v>
      </c>
      <c r="M13" s="6">
        <v>1.2483151299999999</v>
      </c>
      <c r="N13" s="6">
        <v>1.1072953329999999</v>
      </c>
      <c r="O13" s="6" t="str">
        <f t="shared" si="0"/>
        <v>0.49121 - 4.38236</v>
      </c>
      <c r="P13" s="6">
        <f t="shared" si="1"/>
        <v>1.82008547775</v>
      </c>
    </row>
    <row r="14" spans="1:16" x14ac:dyDescent="0.2">
      <c r="A14" s="39"/>
      <c r="B14" s="6" t="s">
        <v>26</v>
      </c>
      <c r="C14" s="6">
        <f t="shared" ref="C14:N14" si="5">SUM(C7:C13)</f>
        <v>25.968984710000001</v>
      </c>
      <c r="D14" s="6">
        <f t="shared" si="5"/>
        <v>29.381346632</v>
      </c>
      <c r="E14" s="6">
        <f t="shared" si="5"/>
        <v>12.33371305</v>
      </c>
      <c r="F14" s="6">
        <f t="shared" si="5"/>
        <v>44.444030601000001</v>
      </c>
      <c r="G14" s="6">
        <f t="shared" si="5"/>
        <v>7.5271879500000001</v>
      </c>
      <c r="H14" s="6">
        <f t="shared" si="5"/>
        <v>39.701427365999997</v>
      </c>
      <c r="I14" s="6">
        <f t="shared" si="5"/>
        <v>29.586090940000002</v>
      </c>
      <c r="J14" s="6">
        <f t="shared" si="5"/>
        <v>32.598555300000001</v>
      </c>
      <c r="K14" s="6">
        <f t="shared" si="5"/>
        <v>26.661829299999997</v>
      </c>
      <c r="L14" s="6">
        <f t="shared" si="5"/>
        <v>6.2920382999999998</v>
      </c>
      <c r="M14" s="6">
        <f t="shared" si="5"/>
        <v>33.178132669999997</v>
      </c>
      <c r="N14" s="6">
        <f t="shared" si="5"/>
        <v>30.175550733000001</v>
      </c>
      <c r="O14" s="6" t="str">
        <f t="shared" si="0"/>
        <v>6.29204 - 44.44403</v>
      </c>
      <c r="P14" s="6">
        <f t="shared" si="1"/>
        <v>26.487407296000001</v>
      </c>
    </row>
    <row r="15" spans="1:16" x14ac:dyDescent="0.2">
      <c r="A15" s="4" t="s">
        <v>231</v>
      </c>
      <c r="B15" s="6" t="s">
        <v>27</v>
      </c>
      <c r="C15" s="6">
        <v>44.072700279999999</v>
      </c>
      <c r="D15" s="6">
        <v>44.526334159999998</v>
      </c>
      <c r="E15" s="6">
        <v>18.555891580000001</v>
      </c>
      <c r="F15" s="6">
        <v>55.137429707000003</v>
      </c>
      <c r="G15" s="6">
        <v>8.1500456299999993</v>
      </c>
      <c r="H15" s="6">
        <v>46.344346403999999</v>
      </c>
      <c r="I15" s="6">
        <v>46.948009650000003</v>
      </c>
      <c r="J15" s="6">
        <v>41.4913083</v>
      </c>
      <c r="K15" s="6">
        <v>50.108452890000002</v>
      </c>
      <c r="L15" s="6">
        <v>68.234765690000003</v>
      </c>
      <c r="M15" s="6">
        <v>75.768235509999997</v>
      </c>
      <c r="N15" s="6">
        <v>59.829553312999998</v>
      </c>
      <c r="O15" s="6" t="str">
        <f t="shared" si="0"/>
        <v>8.15005 - 75.76824</v>
      </c>
      <c r="P15" s="6">
        <f t="shared" si="1"/>
        <v>46.597256092833334</v>
      </c>
    </row>
    <row r="16" spans="1:16" x14ac:dyDescent="0.2">
      <c r="A16" s="39" t="s">
        <v>28</v>
      </c>
      <c r="B16" s="6" t="s">
        <v>29</v>
      </c>
      <c r="C16" s="6">
        <v>0.10755397</v>
      </c>
      <c r="D16" s="6">
        <v>0.12913733299999999</v>
      </c>
      <c r="E16" s="6">
        <v>2.51183E-2</v>
      </c>
      <c r="F16" s="6">
        <v>2.73913E-2</v>
      </c>
      <c r="G16" s="6">
        <v>0</v>
      </c>
      <c r="H16" s="6">
        <v>0.112454367</v>
      </c>
      <c r="I16" s="6">
        <v>0.11846176999999999</v>
      </c>
      <c r="J16" s="6">
        <v>2.81338E-2</v>
      </c>
      <c r="K16" s="6">
        <v>4.4359330000000002E-2</v>
      </c>
      <c r="L16" s="6">
        <v>0.69386610000000004</v>
      </c>
      <c r="M16" s="6">
        <v>0.72274579999999999</v>
      </c>
      <c r="N16" s="6">
        <v>0.91965753299999997</v>
      </c>
      <c r="O16" s="6" t="str">
        <f t="shared" si="0"/>
        <v>0.00000 - 0.91966</v>
      </c>
      <c r="P16" s="6">
        <f t="shared" si="1"/>
        <v>0.24407330024999999</v>
      </c>
    </row>
    <row r="17" spans="1:16" x14ac:dyDescent="0.2">
      <c r="A17" s="39"/>
      <c r="B17" s="6" t="s">
        <v>30</v>
      </c>
      <c r="C17" s="6">
        <v>11.253573530000001</v>
      </c>
      <c r="D17" s="6">
        <v>9.312801833</v>
      </c>
      <c r="E17" s="6">
        <v>4.1435805999999999</v>
      </c>
      <c r="F17" s="6">
        <v>9.8751768670000004</v>
      </c>
      <c r="G17" s="6">
        <v>3.9272968000000001</v>
      </c>
      <c r="H17" s="6">
        <v>12.831073200000001</v>
      </c>
      <c r="I17" s="6">
        <v>15.688126929999999</v>
      </c>
      <c r="J17" s="6">
        <v>13.6295593</v>
      </c>
      <c r="K17" s="6">
        <v>17.506487029999999</v>
      </c>
      <c r="L17" s="6">
        <v>36.271771749999999</v>
      </c>
      <c r="M17" s="6">
        <v>20.665292699999998</v>
      </c>
      <c r="N17" s="6">
        <v>16.708069866999999</v>
      </c>
      <c r="O17" s="6" t="str">
        <f t="shared" si="0"/>
        <v>3.92730 - 36.27177</v>
      </c>
      <c r="P17" s="6">
        <f t="shared" si="1"/>
        <v>14.317734200583336</v>
      </c>
    </row>
    <row r="18" spans="1:16" x14ac:dyDescent="0.2">
      <c r="A18" s="39"/>
      <c r="B18" s="6" t="s">
        <v>31</v>
      </c>
      <c r="C18" s="6">
        <f>SUM(C16:C17)</f>
        <v>11.3611275</v>
      </c>
      <c r="D18" s="6">
        <f t="shared" ref="D18:N18" si="6">SUM(D16:D17)</f>
        <v>9.4419391659999992</v>
      </c>
      <c r="E18" s="6">
        <f t="shared" si="6"/>
        <v>4.1686988999999999</v>
      </c>
      <c r="F18" s="6">
        <f t="shared" si="6"/>
        <v>9.9025681670000001</v>
      </c>
      <c r="G18" s="6">
        <f t="shared" si="6"/>
        <v>3.9272968000000001</v>
      </c>
      <c r="H18" s="6">
        <f t="shared" si="6"/>
        <v>12.943527567</v>
      </c>
      <c r="I18" s="6">
        <f t="shared" si="6"/>
        <v>15.806588699999999</v>
      </c>
      <c r="J18" s="6">
        <f t="shared" si="6"/>
        <v>13.657693100000001</v>
      </c>
      <c r="K18" s="6">
        <f t="shared" si="6"/>
        <v>17.550846359999998</v>
      </c>
      <c r="L18" s="6">
        <f t="shared" si="6"/>
        <v>36.96563785</v>
      </c>
      <c r="M18" s="6">
        <f t="shared" si="6"/>
        <v>21.388038499999997</v>
      </c>
      <c r="N18" s="6">
        <f t="shared" si="6"/>
        <v>17.627727399999998</v>
      </c>
      <c r="O18" s="6" t="str">
        <f t="shared" si="0"/>
        <v>3.92730 - 36.96564</v>
      </c>
      <c r="P18" s="6">
        <f t="shared" si="1"/>
        <v>14.561807500833332</v>
      </c>
    </row>
    <row r="19" spans="1:16" x14ac:dyDescent="0.2">
      <c r="A19" s="7" t="s">
        <v>32</v>
      </c>
      <c r="B19" s="6" t="s">
        <v>33</v>
      </c>
      <c r="C19" s="6">
        <v>4.9916345299999998</v>
      </c>
      <c r="D19" s="6">
        <v>4.5893151330000004</v>
      </c>
      <c r="E19" s="6">
        <v>1.02970125</v>
      </c>
      <c r="F19" s="6">
        <v>3.3130293329999998</v>
      </c>
      <c r="G19" s="6">
        <v>0.35574319999999998</v>
      </c>
      <c r="H19" s="6">
        <v>6.2473925330000002</v>
      </c>
      <c r="I19" s="6">
        <v>5.5080705999999999</v>
      </c>
      <c r="J19" s="6">
        <v>3.1709714</v>
      </c>
      <c r="K19" s="6">
        <v>6.6755465300000001</v>
      </c>
      <c r="L19" s="6">
        <v>1.05840815</v>
      </c>
      <c r="M19" s="6">
        <v>5.1113999999999997</v>
      </c>
      <c r="N19" s="6">
        <v>5.2143150670000002</v>
      </c>
      <c r="O19" s="6" t="str">
        <f t="shared" si="0"/>
        <v>0.35574 - 6.67555</v>
      </c>
      <c r="P19" s="6">
        <f t="shared" si="1"/>
        <v>3.9387939771666667</v>
      </c>
    </row>
    <row r="20" spans="1:16" x14ac:dyDescent="0.2">
      <c r="A20" s="39" t="s">
        <v>34</v>
      </c>
      <c r="B20" s="8" t="s">
        <v>35</v>
      </c>
      <c r="C20" s="6">
        <v>15.56315742</v>
      </c>
      <c r="D20" s="6">
        <v>20.462842011999999</v>
      </c>
      <c r="E20" s="6">
        <v>13.523403180000001</v>
      </c>
      <c r="F20" s="6">
        <v>47.860758722</v>
      </c>
      <c r="G20" s="6">
        <v>6.6561663600000003</v>
      </c>
      <c r="H20" s="6">
        <v>41.685501279999997</v>
      </c>
      <c r="I20" s="6">
        <v>26.27335085</v>
      </c>
      <c r="J20" s="6">
        <v>38.038508899999997</v>
      </c>
      <c r="K20" s="6">
        <v>18.64149493</v>
      </c>
      <c r="L20" s="6">
        <v>3.0380101599999998</v>
      </c>
      <c r="M20" s="6">
        <v>25.985590259999999</v>
      </c>
      <c r="N20" s="6">
        <v>22.642656396</v>
      </c>
      <c r="O20" s="6" t="str">
        <f t="shared" si="0"/>
        <v>3.03801 - 47.86076</v>
      </c>
      <c r="P20" s="6">
        <f t="shared" si="1"/>
        <v>23.364286705833337</v>
      </c>
    </row>
    <row r="21" spans="1:16" x14ac:dyDescent="0.2">
      <c r="A21" s="39"/>
      <c r="B21" s="8" t="s">
        <v>36</v>
      </c>
      <c r="C21" s="6">
        <v>35.074637039999999</v>
      </c>
      <c r="D21" s="6">
        <v>25.069509715999999</v>
      </c>
      <c r="E21" s="6">
        <v>28.893922140000001</v>
      </c>
      <c r="F21" s="6">
        <v>24.358168092</v>
      </c>
      <c r="G21" s="6">
        <v>31.635222819999999</v>
      </c>
      <c r="H21" s="6">
        <v>43.928016448000001</v>
      </c>
      <c r="I21" s="6">
        <v>44.518829359999998</v>
      </c>
      <c r="J21" s="6">
        <v>40.885432600000001</v>
      </c>
      <c r="K21" s="6">
        <v>53.925729869999998</v>
      </c>
      <c r="L21" s="6">
        <v>98.277691489999995</v>
      </c>
      <c r="M21" s="6">
        <v>52.203455239999997</v>
      </c>
      <c r="N21" s="6">
        <v>43.896005185999996</v>
      </c>
      <c r="O21" s="6" t="str">
        <f t="shared" si="0"/>
        <v>24.35817 - 98.27769</v>
      </c>
      <c r="P21" s="6">
        <f t="shared" si="1"/>
        <v>43.555551666833331</v>
      </c>
    </row>
    <row r="22" spans="1:16" x14ac:dyDescent="0.2">
      <c r="A22" s="39"/>
      <c r="B22" s="8" t="s">
        <v>37</v>
      </c>
      <c r="C22" s="6">
        <v>10.73207581</v>
      </c>
      <c r="D22" s="6">
        <v>12.708940701</v>
      </c>
      <c r="E22" s="6">
        <v>4.9267799999999999</v>
      </c>
      <c r="F22" s="6">
        <v>9.9387081970000004</v>
      </c>
      <c r="G22" s="6">
        <v>2.8033776499999998</v>
      </c>
      <c r="H22" s="6">
        <v>8.5837566289999998</v>
      </c>
      <c r="I22" s="6">
        <v>9.0638576099999995</v>
      </c>
      <c r="J22" s="6">
        <v>7.6043111000000003</v>
      </c>
      <c r="K22" s="6">
        <v>11.201460089999999</v>
      </c>
      <c r="L22" s="6">
        <v>3.6239757899999998</v>
      </c>
      <c r="M22" s="6">
        <v>18.130907959999998</v>
      </c>
      <c r="N22" s="6">
        <v>11.765192043000001</v>
      </c>
      <c r="O22" s="6" t="str">
        <f t="shared" si="0"/>
        <v>2.80338 - 18.13091</v>
      </c>
      <c r="P22" s="6">
        <f t="shared" si="1"/>
        <v>9.2569452983333331</v>
      </c>
    </row>
    <row r="23" spans="1:16" x14ac:dyDescent="0.2">
      <c r="A23" s="39"/>
      <c r="B23" s="8" t="s">
        <v>38</v>
      </c>
      <c r="C23" s="8">
        <f t="shared" ref="C23:N23" si="7">SUM(C20:C22)</f>
        <v>61.369870269999993</v>
      </c>
      <c r="D23" s="8">
        <f t="shared" si="7"/>
        <v>58.241292428999998</v>
      </c>
      <c r="E23" s="8">
        <f t="shared" si="7"/>
        <v>47.344105320000004</v>
      </c>
      <c r="F23" s="8">
        <f t="shared" si="7"/>
        <v>82.157635010999996</v>
      </c>
      <c r="G23" s="8">
        <f t="shared" si="7"/>
        <v>41.094766829999998</v>
      </c>
      <c r="H23" s="8">
        <f t="shared" si="7"/>
        <v>94.197274356999998</v>
      </c>
      <c r="I23" s="8">
        <f t="shared" si="7"/>
        <v>79.856037819999997</v>
      </c>
      <c r="J23" s="8">
        <f t="shared" si="7"/>
        <v>86.528252600000002</v>
      </c>
      <c r="K23" s="8">
        <f t="shared" si="7"/>
        <v>83.768684889999989</v>
      </c>
      <c r="L23" s="8">
        <f t="shared" si="7"/>
        <v>104.93967744</v>
      </c>
      <c r="M23" s="8">
        <f t="shared" si="7"/>
        <v>96.319953459999994</v>
      </c>
      <c r="N23" s="6">
        <f t="shared" si="7"/>
        <v>78.303853625000002</v>
      </c>
      <c r="O23" s="6" t="str">
        <f t="shared" si="0"/>
        <v>41.09477 - 104.93968</v>
      </c>
      <c r="P23" s="6">
        <f t="shared" si="1"/>
        <v>76.176783670999995</v>
      </c>
    </row>
    <row r="24" spans="1:16" s="32" customFormat="1" x14ac:dyDescent="0.2">
      <c r="A24" s="39" t="s">
        <v>187</v>
      </c>
      <c r="B24" s="6" t="s">
        <v>64</v>
      </c>
      <c r="C24" s="6">
        <v>0.752413</v>
      </c>
      <c r="D24" s="6">
        <v>0.47416243299999999</v>
      </c>
      <c r="E24" s="6">
        <v>0.24178735000000001</v>
      </c>
      <c r="F24" s="6">
        <v>4.3852166999999997E-2</v>
      </c>
      <c r="G24" s="6">
        <v>6.6338449999999993E-2</v>
      </c>
      <c r="H24" s="6">
        <v>0.48105466699999999</v>
      </c>
      <c r="I24" s="6">
        <v>0.19706850000000001</v>
      </c>
      <c r="J24" s="6">
        <v>0.13059899999999999</v>
      </c>
      <c r="K24" s="6">
        <v>0.19526226999999999</v>
      </c>
      <c r="L24" s="6">
        <v>0.23395004999999999</v>
      </c>
      <c r="M24" s="6">
        <v>1.0455269999999999E-2</v>
      </c>
      <c r="N24" s="6">
        <v>0.54228943299999999</v>
      </c>
      <c r="O24" s="6" t="str">
        <f t="shared" si="0"/>
        <v>0.01046 - 0.75241</v>
      </c>
      <c r="P24" s="6">
        <f t="shared" si="1"/>
        <v>0.2807693825</v>
      </c>
    </row>
    <row r="25" spans="1:16" x14ac:dyDescent="0.2">
      <c r="A25" s="39"/>
      <c r="B25" s="6" t="s">
        <v>66</v>
      </c>
      <c r="C25" s="6">
        <v>9.3725625000000008</v>
      </c>
      <c r="D25" s="6">
        <v>13.6879066</v>
      </c>
      <c r="E25" s="6">
        <v>3.2501413000000001</v>
      </c>
      <c r="F25" s="6">
        <v>19.521173333</v>
      </c>
      <c r="G25" s="6">
        <v>0.63457224999999995</v>
      </c>
      <c r="H25" s="6">
        <v>11.582545466999999</v>
      </c>
      <c r="I25" s="6">
        <v>12.36389043</v>
      </c>
      <c r="J25" s="6">
        <v>11.715257299999999</v>
      </c>
      <c r="K25" s="6">
        <v>7.9482768699999999</v>
      </c>
      <c r="L25" s="6">
        <v>4.8790411499999999</v>
      </c>
      <c r="M25" s="6">
        <v>21.053845630000001</v>
      </c>
      <c r="N25" s="6">
        <v>15.889810132999999</v>
      </c>
      <c r="O25" s="6" t="str">
        <f t="shared" si="0"/>
        <v>0.63457 - 21.05385</v>
      </c>
      <c r="P25" s="6">
        <f t="shared" si="1"/>
        <v>10.991585246916665</v>
      </c>
    </row>
    <row r="26" spans="1:16" x14ac:dyDescent="0.2">
      <c r="A26" s="39"/>
      <c r="B26" s="6" t="s">
        <v>59</v>
      </c>
      <c r="C26" s="6">
        <v>8.3100629999999995E-2</v>
      </c>
      <c r="D26" s="6">
        <v>2.6926967E-2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 t="str">
        <f t="shared" si="0"/>
        <v>0.00000 - 0.08310</v>
      </c>
      <c r="P26" s="6">
        <f t="shared" si="1"/>
        <v>9.1689664166666653E-3</v>
      </c>
    </row>
    <row r="27" spans="1:16" x14ac:dyDescent="0.2">
      <c r="A27" s="7" t="s">
        <v>186</v>
      </c>
      <c r="B27" s="6" t="s">
        <v>60</v>
      </c>
      <c r="C27" s="6">
        <v>0.43248920000000002</v>
      </c>
      <c r="D27" s="6">
        <v>0.16515550000000001</v>
      </c>
      <c r="E27" s="6">
        <v>8.5430049999999993E-2</v>
      </c>
      <c r="F27" s="6">
        <v>1.76504E-2</v>
      </c>
      <c r="G27" s="6">
        <v>1.9550000000000001E-3</v>
      </c>
      <c r="H27" s="6">
        <v>0.198004233</v>
      </c>
      <c r="I27" s="6">
        <v>0.71800357000000004</v>
      </c>
      <c r="J27" s="6">
        <v>0.31619069999999999</v>
      </c>
      <c r="K27" s="6">
        <v>0.34219187000000001</v>
      </c>
      <c r="L27" s="6">
        <v>5.7149999999999996E-3</v>
      </c>
      <c r="M27" s="6">
        <v>2.0699800000000001E-2</v>
      </c>
      <c r="N27" s="6">
        <v>6.7206233000000004E-2</v>
      </c>
      <c r="O27" s="6" t="str">
        <f t="shared" si="0"/>
        <v>0.00196 - 0.71800</v>
      </c>
      <c r="P27" s="6">
        <f t="shared" si="1"/>
        <v>0.19755762966666668</v>
      </c>
    </row>
    <row r="28" spans="1:16" x14ac:dyDescent="0.2">
      <c r="A28" s="7" t="s">
        <v>219</v>
      </c>
      <c r="B28" s="6" t="s">
        <v>220</v>
      </c>
      <c r="C28" s="6">
        <v>165.64347042</v>
      </c>
      <c r="D28" s="6">
        <v>171.43180000000001</v>
      </c>
      <c r="E28" s="6">
        <v>202.34429696000001</v>
      </c>
      <c r="F28" s="6">
        <v>189.6703</v>
      </c>
      <c r="G28" s="6">
        <v>184.25409529999999</v>
      </c>
      <c r="H28" s="6">
        <v>181.55699999999999</v>
      </c>
      <c r="I28" s="6">
        <v>171.98897769000001</v>
      </c>
      <c r="J28" s="6">
        <v>193.5453766</v>
      </c>
      <c r="K28" s="6">
        <v>161.83975559999999</v>
      </c>
      <c r="L28" s="6">
        <v>107.59952179</v>
      </c>
      <c r="M28" s="6">
        <v>149.32929081</v>
      </c>
      <c r="N28" s="6">
        <v>159.05770000000001</v>
      </c>
      <c r="O28" s="6" t="str">
        <f t="shared" ref="O28:O32" si="8">TEXT(MIN(C28:N28),"0.00000")&amp;" - "&amp;TEXT(MAX(C28:N28),"0.00000")</f>
        <v>107.59952 - 202.34430</v>
      </c>
      <c r="P28" s="6">
        <f t="shared" ref="P28:P32" si="9">AVERAGE(C28:N28)</f>
        <v>169.85513209749999</v>
      </c>
    </row>
    <row r="29" spans="1:16" x14ac:dyDescent="0.2">
      <c r="A29" s="7" t="s">
        <v>224</v>
      </c>
      <c r="B29" s="6" t="s">
        <v>221</v>
      </c>
      <c r="C29" s="6">
        <v>45.366014739999997</v>
      </c>
      <c r="D29" s="6">
        <v>47.635840000000002</v>
      </c>
      <c r="E29" s="6">
        <v>19.78354276</v>
      </c>
      <c r="F29" s="6">
        <v>64.117750000000001</v>
      </c>
      <c r="G29" s="6">
        <v>14.457394069999999</v>
      </c>
      <c r="H29" s="6">
        <v>62.804589999999997</v>
      </c>
      <c r="I29" s="6">
        <v>58.19093754</v>
      </c>
      <c r="J29" s="6">
        <v>53.934111799999997</v>
      </c>
      <c r="K29" s="6">
        <v>57.226685889999999</v>
      </c>
      <c r="L29" s="6">
        <v>56.130222310000001</v>
      </c>
      <c r="M29" s="6">
        <v>71.930973480000006</v>
      </c>
      <c r="N29" s="6">
        <v>64.253270000000001</v>
      </c>
      <c r="O29" s="6" t="str">
        <f t="shared" si="8"/>
        <v>14.45739 - 71.93097</v>
      </c>
      <c r="P29" s="6">
        <f t="shared" si="9"/>
        <v>51.31927771583333</v>
      </c>
    </row>
    <row r="30" spans="1:16" x14ac:dyDescent="0.2">
      <c r="A30" s="7" t="s">
        <v>225</v>
      </c>
      <c r="B30" s="6" t="s">
        <v>222</v>
      </c>
      <c r="C30" s="6">
        <v>37.175329069999997</v>
      </c>
      <c r="D30" s="6">
        <v>39.494289999999999</v>
      </c>
      <c r="E30" s="6">
        <v>30.87162966</v>
      </c>
      <c r="F30" s="6">
        <v>45.518219999999999</v>
      </c>
      <c r="G30" s="6">
        <v>34.967842179999998</v>
      </c>
      <c r="H30" s="6">
        <v>64.192359999999994</v>
      </c>
      <c r="I30" s="6">
        <v>52.271667720000003</v>
      </c>
      <c r="J30" s="6">
        <v>49.691593900000001</v>
      </c>
      <c r="K30" s="6">
        <v>55.476021060000001</v>
      </c>
      <c r="L30" s="6">
        <v>25.743851530000001</v>
      </c>
      <c r="M30" s="6">
        <v>44.843775489999999</v>
      </c>
      <c r="N30" s="6">
        <v>43.441960000000002</v>
      </c>
      <c r="O30" s="6" t="str">
        <f t="shared" si="8"/>
        <v>25.74385 - 64.19236</v>
      </c>
      <c r="P30" s="6">
        <f t="shared" si="9"/>
        <v>43.64071171749999</v>
      </c>
    </row>
    <row r="31" spans="1:16" x14ac:dyDescent="0.2">
      <c r="A31" s="39" t="s">
        <v>226</v>
      </c>
      <c r="B31" s="6" t="s">
        <v>223</v>
      </c>
      <c r="C31" s="6">
        <v>3.1842920800000001</v>
      </c>
      <c r="D31" s="6">
        <v>5.6563739999999996</v>
      </c>
      <c r="E31" s="6">
        <v>1.57019997</v>
      </c>
      <c r="F31" s="6">
        <v>15.196910000000001</v>
      </c>
      <c r="G31" s="6">
        <v>0.90095462000000004</v>
      </c>
      <c r="H31" s="6">
        <v>10.670389999999999</v>
      </c>
      <c r="I31" s="6">
        <v>5.4619906199999999</v>
      </c>
      <c r="J31" s="6">
        <v>9.5083357999999993</v>
      </c>
      <c r="K31" s="6">
        <v>3.4721388000000002</v>
      </c>
      <c r="L31" s="6">
        <v>4.5184009999999997E-2</v>
      </c>
      <c r="M31" s="6">
        <v>5.4777067300000004</v>
      </c>
      <c r="N31" s="6">
        <v>4.7862520000000002</v>
      </c>
      <c r="O31" s="6" t="str">
        <f t="shared" si="8"/>
        <v>0.04518 - 15.19691</v>
      </c>
      <c r="P31" s="6">
        <f t="shared" si="9"/>
        <v>5.4942273858333337</v>
      </c>
    </row>
    <row r="32" spans="1:16" x14ac:dyDescent="0.2">
      <c r="A32" s="39"/>
      <c r="B32" s="6" t="s">
        <v>233</v>
      </c>
      <c r="C32" s="6">
        <v>36.882253089999999</v>
      </c>
      <c r="D32" s="6">
        <v>36.269849999999998</v>
      </c>
      <c r="E32" s="6">
        <v>45.974725229999997</v>
      </c>
      <c r="F32" s="6">
        <v>55.601190000000003</v>
      </c>
      <c r="G32" s="6">
        <v>60.387027750000001</v>
      </c>
      <c r="H32" s="6">
        <v>73.113829999999993</v>
      </c>
      <c r="I32" s="6">
        <v>51.254241210000004</v>
      </c>
      <c r="J32" s="6">
        <v>61.497440099999999</v>
      </c>
      <c r="K32" s="6">
        <v>54.902311249999997</v>
      </c>
      <c r="L32" s="6">
        <v>29.83847669</v>
      </c>
      <c r="M32" s="6">
        <v>42.236285870000003</v>
      </c>
      <c r="N32" s="6">
        <v>42.881189999999997</v>
      </c>
      <c r="O32" s="6" t="str">
        <f t="shared" si="8"/>
        <v>29.83848 - 73.11383</v>
      </c>
      <c r="P32" s="6">
        <f t="shared" si="9"/>
        <v>49.236568432499986</v>
      </c>
    </row>
  </sheetData>
  <mergeCells count="6">
    <mergeCell ref="A31:A32"/>
    <mergeCell ref="A7:A14"/>
    <mergeCell ref="A16:A18"/>
    <mergeCell ref="A20:A23"/>
    <mergeCell ref="A4:A6"/>
    <mergeCell ref="A24:A26"/>
  </mergeCells>
  <phoneticPr fontId="18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61A-4116-8F4D-A408-8AD452EAD479}">
  <dimension ref="A1:P109"/>
  <sheetViews>
    <sheetView topLeftCell="A76" workbookViewId="0"/>
  </sheetViews>
  <sheetFormatPr baseColWidth="10" defaultColWidth="11" defaultRowHeight="16" x14ac:dyDescent="0.2"/>
  <cols>
    <col min="1" max="1" width="14.5" customWidth="1"/>
    <col min="2" max="2" width="33.83203125" customWidth="1"/>
    <col min="15" max="15" width="19" customWidth="1"/>
  </cols>
  <sheetData>
    <row r="1" spans="1:16" ht="22" x14ac:dyDescent="0.3">
      <c r="A1" s="25" t="s">
        <v>238</v>
      </c>
    </row>
    <row r="2" spans="1:16" ht="22" x14ac:dyDescent="0.3">
      <c r="A2" s="26"/>
    </row>
    <row r="3" spans="1:16" x14ac:dyDescent="0.2">
      <c r="A3" s="3" t="s">
        <v>0</v>
      </c>
      <c r="B3" s="3" t="s">
        <v>39</v>
      </c>
      <c r="C3" s="3" t="s">
        <v>92</v>
      </c>
      <c r="D3" s="3" t="s">
        <v>97</v>
      </c>
      <c r="E3" s="3" t="s">
        <v>102</v>
      </c>
      <c r="F3" s="3" t="s">
        <v>105</v>
      </c>
      <c r="G3" s="3" t="s">
        <v>109</v>
      </c>
      <c r="H3" s="3" t="s">
        <v>112</v>
      </c>
      <c r="I3" s="3" t="s">
        <v>116</v>
      </c>
      <c r="J3" s="3" t="s">
        <v>120</v>
      </c>
      <c r="K3" s="3" t="s">
        <v>125</v>
      </c>
      <c r="L3" s="3" t="s">
        <v>129</v>
      </c>
      <c r="M3" s="3" t="s">
        <v>132</v>
      </c>
      <c r="N3" s="3" t="s">
        <v>136</v>
      </c>
      <c r="O3" s="3" t="s">
        <v>14</v>
      </c>
      <c r="P3" s="3"/>
    </row>
    <row r="4" spans="1:16" x14ac:dyDescent="0.2">
      <c r="A4" s="6" t="s">
        <v>36</v>
      </c>
      <c r="B4" s="6" t="s">
        <v>45</v>
      </c>
      <c r="C4" s="6">
        <v>8.4380013859999998</v>
      </c>
      <c r="D4" s="6">
        <v>5.3654974769999999</v>
      </c>
      <c r="E4" s="6">
        <v>0.87557065999999995</v>
      </c>
      <c r="F4" s="6">
        <v>2.722575838</v>
      </c>
      <c r="G4" s="6">
        <v>0.19181778199999999</v>
      </c>
      <c r="H4" s="6">
        <v>1.1730666890000001</v>
      </c>
      <c r="I4" s="6">
        <v>2.6783361299999999</v>
      </c>
      <c r="J4" s="6">
        <v>3.4660846570000001</v>
      </c>
      <c r="K4" s="6">
        <v>5.2803146080000003</v>
      </c>
      <c r="L4" s="6">
        <v>43.326466840000002</v>
      </c>
      <c r="M4" s="6">
        <v>21.111071725999999</v>
      </c>
      <c r="N4" s="6">
        <v>12.870636147000001</v>
      </c>
      <c r="O4" s="6">
        <f t="shared" ref="O4:O64" si="0">AVERAGE(C4:N4)</f>
        <v>8.9582866616666674</v>
      </c>
      <c r="P4" s="6"/>
    </row>
    <row r="5" spans="1:16" x14ac:dyDescent="0.2">
      <c r="A5" s="6" t="s">
        <v>36</v>
      </c>
      <c r="B5" s="6" t="s">
        <v>44</v>
      </c>
      <c r="C5" s="6">
        <v>5.0588794850000003</v>
      </c>
      <c r="D5" s="6">
        <v>3.8080914030000002</v>
      </c>
      <c r="E5" s="6">
        <v>3.8905590600000002</v>
      </c>
      <c r="F5" s="6">
        <v>1.9354255250000001</v>
      </c>
      <c r="G5" s="6">
        <v>2.4653694370000001</v>
      </c>
      <c r="H5" s="6">
        <v>6.7544334499999996</v>
      </c>
      <c r="I5" s="6">
        <v>11.57948537</v>
      </c>
      <c r="J5" s="6">
        <v>12.853263109</v>
      </c>
      <c r="K5" s="6">
        <v>22.132203453999999</v>
      </c>
      <c r="L5" s="6">
        <v>29.464526880000001</v>
      </c>
      <c r="M5" s="6">
        <v>8.3020503530000003</v>
      </c>
      <c r="N5" s="6">
        <v>11.585080323</v>
      </c>
      <c r="O5" s="6">
        <f t="shared" si="0"/>
        <v>9.9857806540833334</v>
      </c>
      <c r="P5" s="6"/>
    </row>
    <row r="6" spans="1:16" x14ac:dyDescent="0.2">
      <c r="A6" s="6" t="s">
        <v>36</v>
      </c>
      <c r="B6" s="6" t="s">
        <v>227</v>
      </c>
      <c r="C6" s="6">
        <v>15.125880793</v>
      </c>
      <c r="D6" s="6">
        <v>8.6602731219999995</v>
      </c>
      <c r="E6" s="6">
        <v>9.6407183100000005</v>
      </c>
      <c r="F6" s="6">
        <v>7.1205987220000004</v>
      </c>
      <c r="G6" s="6">
        <v>6.29561364</v>
      </c>
      <c r="H6" s="6">
        <v>13.844823277</v>
      </c>
      <c r="I6" s="6">
        <v>14.79714231</v>
      </c>
      <c r="J6" s="6">
        <v>10.236765834</v>
      </c>
      <c r="K6" s="6">
        <v>12.896113424999999</v>
      </c>
      <c r="L6" s="6">
        <v>22.674140609999998</v>
      </c>
      <c r="M6" s="6">
        <v>14.215629782000001</v>
      </c>
      <c r="N6" s="6">
        <v>12.030530383</v>
      </c>
      <c r="O6" s="6">
        <f t="shared" si="0"/>
        <v>12.294852517333332</v>
      </c>
      <c r="P6" s="6"/>
    </row>
    <row r="7" spans="1:16" x14ac:dyDescent="0.2">
      <c r="A7" s="6" t="s">
        <v>36</v>
      </c>
      <c r="B7" s="6" t="s">
        <v>46</v>
      </c>
      <c r="C7" s="6">
        <v>4.513941193</v>
      </c>
      <c r="D7" s="6">
        <v>4.6033189170000002</v>
      </c>
      <c r="E7" s="6">
        <v>1.35073595</v>
      </c>
      <c r="F7" s="6">
        <v>5.5672328609999999</v>
      </c>
      <c r="G7" s="6">
        <v>4.319115236</v>
      </c>
      <c r="H7" s="6">
        <v>18.373591090000001</v>
      </c>
      <c r="I7" s="6">
        <v>13.04034553</v>
      </c>
      <c r="J7" s="6">
        <v>7.6914276700000004</v>
      </c>
      <c r="K7" s="6">
        <v>9.1787365889999997</v>
      </c>
      <c r="L7" s="6">
        <v>1.94676125</v>
      </c>
      <c r="M7" s="6">
        <v>3.87433629</v>
      </c>
      <c r="N7" s="6">
        <v>4.8618472539999997</v>
      </c>
      <c r="O7" s="6">
        <f t="shared" si="0"/>
        <v>6.6101158191666665</v>
      </c>
      <c r="P7" s="6"/>
    </row>
    <row r="8" spans="1:16" x14ac:dyDescent="0.2">
      <c r="A8" s="6" t="s">
        <v>36</v>
      </c>
      <c r="B8" s="6" t="s">
        <v>47</v>
      </c>
      <c r="C8" s="6">
        <v>1.9379341839999999</v>
      </c>
      <c r="D8" s="6">
        <v>2.632328797</v>
      </c>
      <c r="E8" s="6">
        <v>13.136338159999999</v>
      </c>
      <c r="F8" s="6">
        <v>7.0123351449999998</v>
      </c>
      <c r="G8" s="6">
        <v>18.363306727000001</v>
      </c>
      <c r="H8" s="6">
        <v>3.7821019420000002</v>
      </c>
      <c r="I8" s="6">
        <v>2.4235200099999998</v>
      </c>
      <c r="J8" s="6">
        <v>6.6378912950000002</v>
      </c>
      <c r="K8" s="6">
        <v>4.4383617940000004</v>
      </c>
      <c r="L8" s="6">
        <v>0.86579591</v>
      </c>
      <c r="M8" s="6">
        <v>4.7003670890000002</v>
      </c>
      <c r="N8" s="6">
        <v>2.5479110779999998</v>
      </c>
      <c r="O8" s="6">
        <f t="shared" si="0"/>
        <v>5.7065160109166664</v>
      </c>
      <c r="P8" s="6"/>
    </row>
    <row r="9" spans="1:16" x14ac:dyDescent="0.2">
      <c r="A9" s="6" t="s">
        <v>33</v>
      </c>
      <c r="B9" s="6" t="s">
        <v>54</v>
      </c>
      <c r="C9" s="6">
        <v>0.42175659999999998</v>
      </c>
      <c r="D9" s="6">
        <v>0.33620913299999999</v>
      </c>
      <c r="E9" s="6">
        <v>0.18934695000000001</v>
      </c>
      <c r="F9" s="6">
        <v>0.153865267</v>
      </c>
      <c r="G9" s="6">
        <v>5.0099999999999997E-3</v>
      </c>
      <c r="H9" s="6">
        <v>0.24458659999999999</v>
      </c>
      <c r="I9" s="6">
        <v>0.4268073</v>
      </c>
      <c r="J9" s="6">
        <v>0.25617656700000002</v>
      </c>
      <c r="K9" s="6">
        <v>0.39308743299999999</v>
      </c>
      <c r="L9" s="6">
        <v>3.5886250000000001E-2</v>
      </c>
      <c r="M9" s="6">
        <v>0.66637423299999998</v>
      </c>
      <c r="N9" s="6">
        <v>0.53491666699999996</v>
      </c>
      <c r="O9" s="6">
        <f t="shared" si="0"/>
        <v>0.30533525</v>
      </c>
      <c r="P9" s="6"/>
    </row>
    <row r="10" spans="1:16" x14ac:dyDescent="0.2">
      <c r="A10" s="6" t="s">
        <v>33</v>
      </c>
      <c r="B10" s="6" t="s">
        <v>227</v>
      </c>
      <c r="C10" s="6">
        <v>2.8092760669999999</v>
      </c>
      <c r="D10" s="6">
        <v>2.296593267</v>
      </c>
      <c r="E10" s="6">
        <v>0.73153915000000003</v>
      </c>
      <c r="F10" s="6">
        <v>1.6314287000000001</v>
      </c>
      <c r="G10" s="6">
        <v>0.31101915000000002</v>
      </c>
      <c r="H10" s="6">
        <v>3.5003799</v>
      </c>
      <c r="I10" s="6">
        <v>3.1188305299999999</v>
      </c>
      <c r="J10" s="6">
        <v>2.274026433</v>
      </c>
      <c r="K10" s="6">
        <v>3.958685</v>
      </c>
      <c r="L10" s="6">
        <v>0.90813014999999997</v>
      </c>
      <c r="M10" s="6">
        <v>3.3362699669999998</v>
      </c>
      <c r="N10" s="6">
        <v>3.0853014669999999</v>
      </c>
      <c r="O10" s="6">
        <f t="shared" si="0"/>
        <v>2.3301233150833336</v>
      </c>
      <c r="P10" s="6"/>
    </row>
    <row r="11" spans="1:16" x14ac:dyDescent="0.2">
      <c r="A11" s="6" t="s">
        <v>33</v>
      </c>
      <c r="B11" s="6" t="s">
        <v>46</v>
      </c>
      <c r="C11" s="6">
        <v>0.84522149999999996</v>
      </c>
      <c r="D11" s="6">
        <v>0.71138656700000003</v>
      </c>
      <c r="E11" s="6">
        <v>3.80992E-2</v>
      </c>
      <c r="F11" s="6">
        <v>0.56883550000000005</v>
      </c>
      <c r="G11" s="6">
        <v>3.2619750000000003E-2</v>
      </c>
      <c r="H11" s="6">
        <v>1.9684917669999999</v>
      </c>
      <c r="I11" s="6">
        <v>1.0593302</v>
      </c>
      <c r="J11" s="6">
        <v>0.24039666700000001</v>
      </c>
      <c r="K11" s="6">
        <v>0.15069693300000001</v>
      </c>
      <c r="L11" s="6">
        <v>1.27239E-2</v>
      </c>
      <c r="M11" s="6">
        <v>0.3411941</v>
      </c>
      <c r="N11" s="6">
        <v>0.57256053299999998</v>
      </c>
      <c r="O11" s="6">
        <f t="shared" si="0"/>
        <v>0.54512971808333333</v>
      </c>
      <c r="P11" s="6"/>
    </row>
    <row r="12" spans="1:16" x14ac:dyDescent="0.2">
      <c r="A12" s="6" t="s">
        <v>33</v>
      </c>
      <c r="B12" s="6" t="s">
        <v>58</v>
      </c>
      <c r="C12" s="6">
        <v>0.91157686699999996</v>
      </c>
      <c r="D12" s="6">
        <v>1.245126167</v>
      </c>
      <c r="E12" s="6">
        <v>6.9750950000000006E-2</v>
      </c>
      <c r="F12" s="6">
        <v>0.94380193300000004</v>
      </c>
      <c r="G12" s="6">
        <v>7.0943000000000004E-3</v>
      </c>
      <c r="H12" s="6">
        <v>0.47613653299999997</v>
      </c>
      <c r="I12" s="6">
        <v>0.87847770000000003</v>
      </c>
      <c r="J12" s="6">
        <v>0.33590793299999999</v>
      </c>
      <c r="K12" s="6">
        <v>1.9229091</v>
      </c>
      <c r="L12" s="6">
        <v>9.3863249999999995E-2</v>
      </c>
      <c r="M12" s="6">
        <v>0.66976559999999996</v>
      </c>
      <c r="N12" s="6">
        <v>0.87168146700000004</v>
      </c>
      <c r="O12" s="6">
        <f t="shared" si="0"/>
        <v>0.70217431666666663</v>
      </c>
      <c r="P12" s="6"/>
    </row>
    <row r="13" spans="1:16" x14ac:dyDescent="0.2">
      <c r="A13" s="6" t="s">
        <v>33</v>
      </c>
      <c r="B13" s="6" t="s">
        <v>63</v>
      </c>
      <c r="C13" s="6">
        <v>3.8035E-3</v>
      </c>
      <c r="D13" s="6">
        <v>0</v>
      </c>
      <c r="E13" s="6">
        <v>9.6500000000000004E-4</v>
      </c>
      <c r="F13" s="6">
        <v>1.5097932999999999E-2</v>
      </c>
      <c r="G13" s="6">
        <v>0</v>
      </c>
      <c r="H13" s="6">
        <v>5.7797732999999997E-2</v>
      </c>
      <c r="I13" s="6">
        <v>2.462487E-2</v>
      </c>
      <c r="J13" s="6">
        <v>6.4463832999999998E-2</v>
      </c>
      <c r="K13" s="6">
        <v>0.25016806699999999</v>
      </c>
      <c r="L13" s="6">
        <v>7.8046000000000001E-3</v>
      </c>
      <c r="M13" s="6">
        <v>9.7796099999999997E-2</v>
      </c>
      <c r="N13" s="6">
        <v>0.149854933</v>
      </c>
      <c r="O13" s="6">
        <f t="shared" si="0"/>
        <v>5.6031380749999998E-2</v>
      </c>
      <c r="P13" s="6"/>
    </row>
    <row r="14" spans="1:16" x14ac:dyDescent="0.2">
      <c r="A14" s="6" t="s">
        <v>37</v>
      </c>
      <c r="B14" s="6" t="s">
        <v>49</v>
      </c>
      <c r="C14" s="6">
        <v>6.0563900589999999</v>
      </c>
      <c r="D14" s="6">
        <v>9.008252551</v>
      </c>
      <c r="E14" s="6">
        <v>0.66932579999999997</v>
      </c>
      <c r="F14" s="6">
        <v>5.9326210430000001</v>
      </c>
      <c r="G14" s="6">
        <v>1.0749147000000001E-2</v>
      </c>
      <c r="H14" s="6">
        <v>0.48378740199999998</v>
      </c>
      <c r="I14" s="6">
        <v>4.0122916899999996</v>
      </c>
      <c r="J14" s="6">
        <v>1.432415099</v>
      </c>
      <c r="K14" s="6">
        <v>3.8182678499999998</v>
      </c>
      <c r="L14" s="6">
        <v>2.6736486699999999</v>
      </c>
      <c r="M14" s="6">
        <v>13.734743478</v>
      </c>
      <c r="N14" s="6">
        <v>8.0373729029999996</v>
      </c>
      <c r="O14" s="6">
        <f t="shared" si="0"/>
        <v>4.6558221409999998</v>
      </c>
      <c r="P14" s="6"/>
    </row>
    <row r="15" spans="1:16" x14ac:dyDescent="0.2">
      <c r="A15" s="6" t="s">
        <v>37</v>
      </c>
      <c r="B15" s="6" t="s">
        <v>54</v>
      </c>
      <c r="C15" s="6">
        <v>0.46806171899999999</v>
      </c>
      <c r="D15" s="6">
        <v>0.35227977599999999</v>
      </c>
      <c r="E15" s="6">
        <v>0.11113802</v>
      </c>
      <c r="F15" s="6">
        <v>0.28019651699999998</v>
      </c>
      <c r="G15" s="6">
        <v>7.0548787000000002E-2</v>
      </c>
      <c r="H15" s="6">
        <v>1.2608234190000001</v>
      </c>
      <c r="I15" s="6">
        <v>1.3561976099999999</v>
      </c>
      <c r="J15" s="6">
        <v>1.361279331</v>
      </c>
      <c r="K15" s="6">
        <v>1.7285702190000001</v>
      </c>
      <c r="L15" s="6">
        <v>0.28120746000000002</v>
      </c>
      <c r="M15" s="6">
        <v>2.141528874</v>
      </c>
      <c r="N15" s="6">
        <v>1.51065907</v>
      </c>
      <c r="O15" s="6">
        <f t="shared" si="0"/>
        <v>0.91020756683333326</v>
      </c>
      <c r="P15" s="6"/>
    </row>
    <row r="16" spans="1:16" x14ac:dyDescent="0.2">
      <c r="A16" s="6" t="s">
        <v>37</v>
      </c>
      <c r="B16" s="6" t="s">
        <v>53</v>
      </c>
      <c r="C16" s="6">
        <v>1.935484429</v>
      </c>
      <c r="D16" s="6">
        <v>1.425336116</v>
      </c>
      <c r="E16" s="6">
        <v>3.4269028499999998</v>
      </c>
      <c r="F16" s="6">
        <v>2.0027344199999999</v>
      </c>
      <c r="G16" s="6">
        <v>1.9045397740000001</v>
      </c>
      <c r="H16" s="6">
        <v>4.9192417720000003</v>
      </c>
      <c r="I16" s="6">
        <v>2.1807100699999999</v>
      </c>
      <c r="J16" s="6">
        <v>3.289427002</v>
      </c>
      <c r="K16" s="6">
        <v>3.4567383880000002</v>
      </c>
      <c r="L16" s="6">
        <v>0.52660125000000002</v>
      </c>
      <c r="M16" s="6">
        <v>1.0363021939999999</v>
      </c>
      <c r="N16" s="6">
        <v>0.77481342099999995</v>
      </c>
      <c r="O16" s="6">
        <f t="shared" si="0"/>
        <v>2.2399026405</v>
      </c>
      <c r="P16" s="6"/>
    </row>
    <row r="17" spans="1:16" x14ac:dyDescent="0.2">
      <c r="A17" s="6" t="s">
        <v>37</v>
      </c>
      <c r="B17" s="6" t="s">
        <v>229</v>
      </c>
      <c r="C17" s="6">
        <v>1.6341684970000001</v>
      </c>
      <c r="D17" s="6">
        <v>1.104284582</v>
      </c>
      <c r="E17" s="6">
        <v>0.69906427000000004</v>
      </c>
      <c r="F17" s="6">
        <v>1.13254809</v>
      </c>
      <c r="G17" s="6">
        <v>0.81753993800000002</v>
      </c>
      <c r="H17" s="6">
        <v>1.557073825</v>
      </c>
      <c r="I17" s="6">
        <v>0.89827310000000005</v>
      </c>
      <c r="J17" s="6">
        <v>1.2094871599999999</v>
      </c>
      <c r="K17" s="6">
        <v>0.491197722</v>
      </c>
      <c r="L17" s="6">
        <v>0.1032701</v>
      </c>
      <c r="M17" s="6">
        <v>0.92394885500000001</v>
      </c>
      <c r="N17" s="6">
        <v>1.1276162279999999</v>
      </c>
      <c r="O17" s="6">
        <f t="shared" si="0"/>
        <v>0.97487269725000003</v>
      </c>
      <c r="P17" s="6"/>
    </row>
    <row r="18" spans="1:16" x14ac:dyDescent="0.2">
      <c r="A18" s="6" t="s">
        <v>37</v>
      </c>
      <c r="B18" s="6" t="s">
        <v>58</v>
      </c>
      <c r="C18" s="6">
        <v>0.63797110999999995</v>
      </c>
      <c r="D18" s="6">
        <v>0.81878767600000002</v>
      </c>
      <c r="E18" s="6">
        <v>2.034905E-2</v>
      </c>
      <c r="F18" s="6">
        <v>0.59060812799999995</v>
      </c>
      <c r="G18" s="6">
        <v>0</v>
      </c>
      <c r="H18" s="6">
        <v>0.36283021100000001</v>
      </c>
      <c r="I18" s="6">
        <v>0.61638514</v>
      </c>
      <c r="J18" s="6">
        <v>0.31170255200000002</v>
      </c>
      <c r="K18" s="6">
        <v>1.7066859139999999</v>
      </c>
      <c r="L18" s="6">
        <v>3.9248310000000002E-2</v>
      </c>
      <c r="M18" s="6">
        <v>0.29438455699999999</v>
      </c>
      <c r="N18" s="6">
        <v>0.31473042200000001</v>
      </c>
      <c r="O18" s="6">
        <f t="shared" si="0"/>
        <v>0.47614025583333325</v>
      </c>
      <c r="P18" s="6"/>
    </row>
    <row r="19" spans="1:16" x14ac:dyDescent="0.2">
      <c r="A19" s="6" t="s">
        <v>19</v>
      </c>
      <c r="B19" s="6" t="s">
        <v>228</v>
      </c>
      <c r="C19" s="6">
        <v>0</v>
      </c>
      <c r="D19" s="6">
        <v>5.2716000000000004E-3</v>
      </c>
      <c r="E19" s="6">
        <v>1.2626E-2</v>
      </c>
      <c r="F19" s="6">
        <v>2.09331E-2</v>
      </c>
      <c r="G19" s="6">
        <v>0.21449869999999999</v>
      </c>
      <c r="H19" s="6">
        <v>0.48227343299999997</v>
      </c>
      <c r="I19" s="6">
        <v>0.39431660000000002</v>
      </c>
      <c r="J19" s="6">
        <v>0.37056383300000001</v>
      </c>
      <c r="K19" s="6">
        <v>0.11937803299999999</v>
      </c>
      <c r="L19" s="6">
        <v>0</v>
      </c>
      <c r="M19" s="6">
        <v>0</v>
      </c>
      <c r="N19" s="6">
        <v>2.4933329999999999E-3</v>
      </c>
      <c r="O19" s="6">
        <f t="shared" si="0"/>
        <v>0.13519621933333334</v>
      </c>
      <c r="P19" s="6"/>
    </row>
    <row r="20" spans="1:16" x14ac:dyDescent="0.2">
      <c r="A20" s="6" t="s">
        <v>19</v>
      </c>
      <c r="B20" s="6" t="s">
        <v>46</v>
      </c>
      <c r="C20" s="6">
        <v>0</v>
      </c>
      <c r="D20" s="6">
        <v>0</v>
      </c>
      <c r="E20" s="6">
        <v>0</v>
      </c>
      <c r="F20" s="6">
        <v>0</v>
      </c>
      <c r="G20" s="6">
        <v>1.0633800000000001E-2</v>
      </c>
      <c r="H20" s="6">
        <v>8.5622432999999998E-2</v>
      </c>
      <c r="I20" s="6">
        <v>2.4728099999999999E-2</v>
      </c>
      <c r="J20" s="6">
        <v>2.1174032999999998E-2</v>
      </c>
      <c r="K20" s="6">
        <v>1.0400967000000001E-2</v>
      </c>
      <c r="L20" s="6">
        <v>0</v>
      </c>
      <c r="M20" s="6">
        <v>0</v>
      </c>
      <c r="N20" s="6">
        <v>0</v>
      </c>
      <c r="O20" s="6">
        <f t="shared" si="0"/>
        <v>1.2713277750000002E-2</v>
      </c>
      <c r="P20" s="6"/>
    </row>
    <row r="21" spans="1:16" x14ac:dyDescent="0.2">
      <c r="A21" s="6" t="s">
        <v>19</v>
      </c>
      <c r="B21" s="6" t="s">
        <v>48</v>
      </c>
      <c r="C21" s="6">
        <v>0</v>
      </c>
      <c r="D21" s="6">
        <v>0</v>
      </c>
      <c r="E21" s="6">
        <v>8.9668449999999997E-2</v>
      </c>
      <c r="F21" s="6">
        <v>0</v>
      </c>
      <c r="G21" s="6">
        <v>8.4440500000000002E-2</v>
      </c>
      <c r="H21" s="6">
        <v>0</v>
      </c>
      <c r="I21" s="6">
        <v>0</v>
      </c>
      <c r="J21" s="6">
        <v>0</v>
      </c>
      <c r="K21" s="6">
        <v>0</v>
      </c>
      <c r="L21" s="6">
        <v>3.2173E-2</v>
      </c>
      <c r="M21" s="6">
        <v>0</v>
      </c>
      <c r="N21" s="6">
        <v>0</v>
      </c>
      <c r="O21" s="6">
        <f t="shared" si="0"/>
        <v>1.7190162499999998E-2</v>
      </c>
      <c r="P21" s="6"/>
    </row>
    <row r="22" spans="1:16" x14ac:dyDescent="0.2">
      <c r="A22" s="6" t="s">
        <v>20</v>
      </c>
      <c r="B22" s="6" t="s">
        <v>49</v>
      </c>
      <c r="C22" s="6">
        <v>1.9359462670000001</v>
      </c>
      <c r="D22" s="6">
        <v>3.164292433</v>
      </c>
      <c r="E22" s="6">
        <v>0.34148295000000001</v>
      </c>
      <c r="F22" s="6">
        <v>2.6905557</v>
      </c>
      <c r="G22" s="6">
        <v>3.9207649999999997E-2</v>
      </c>
      <c r="H22" s="6">
        <v>0.19504440000000001</v>
      </c>
      <c r="I22" s="6">
        <v>1.8244523699999999</v>
      </c>
      <c r="J22" s="6">
        <v>0.47674</v>
      </c>
      <c r="K22" s="6">
        <v>1.1636645670000001</v>
      </c>
      <c r="L22" s="6">
        <v>1.5384168</v>
      </c>
      <c r="M22" s="6">
        <v>2.5761493</v>
      </c>
      <c r="N22" s="6">
        <v>2.3400360999999998</v>
      </c>
      <c r="O22" s="6">
        <f t="shared" si="0"/>
        <v>1.5238323780833332</v>
      </c>
      <c r="P22" s="6"/>
    </row>
    <row r="23" spans="1:16" x14ac:dyDescent="0.2">
      <c r="A23" s="6" t="s">
        <v>21</v>
      </c>
      <c r="B23" s="6" t="s">
        <v>40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6.4748999999999996E-3</v>
      </c>
      <c r="J23" s="6">
        <v>9.8534433000000005E-2</v>
      </c>
      <c r="K23" s="6">
        <v>0.127461667</v>
      </c>
      <c r="L23" s="6">
        <v>0</v>
      </c>
      <c r="M23" s="6">
        <v>8.3171400000000006E-2</v>
      </c>
      <c r="N23" s="6">
        <v>1.0812E-2</v>
      </c>
      <c r="O23" s="6">
        <f t="shared" si="0"/>
        <v>2.7204533333333333E-2</v>
      </c>
      <c r="P23" s="6"/>
    </row>
    <row r="24" spans="1:16" x14ac:dyDescent="0.2">
      <c r="A24" s="6" t="s">
        <v>21</v>
      </c>
      <c r="B24" s="6" t="s">
        <v>50</v>
      </c>
      <c r="C24" s="6">
        <v>3.0636699999999999E-2</v>
      </c>
      <c r="D24" s="6">
        <v>4.2767329999999996E-3</v>
      </c>
      <c r="E24" s="6">
        <v>0</v>
      </c>
      <c r="F24" s="6">
        <v>4.1103329999999999E-3</v>
      </c>
      <c r="G24" s="6">
        <v>0</v>
      </c>
      <c r="H24" s="6">
        <v>0</v>
      </c>
      <c r="I24" s="6">
        <v>1.031023E-2</v>
      </c>
      <c r="J24" s="6">
        <v>5.3042330000000002E-3</v>
      </c>
      <c r="K24" s="6">
        <v>0</v>
      </c>
      <c r="L24" s="6">
        <v>0</v>
      </c>
      <c r="M24" s="6">
        <v>4.1255733000000003E-2</v>
      </c>
      <c r="N24" s="6">
        <v>0.2015904</v>
      </c>
      <c r="O24" s="6">
        <f t="shared" si="0"/>
        <v>2.4790363499999999E-2</v>
      </c>
      <c r="P24" s="6"/>
    </row>
    <row r="25" spans="1:16" x14ac:dyDescent="0.2">
      <c r="A25" s="6" t="s">
        <v>21</v>
      </c>
      <c r="B25" s="6" t="s">
        <v>229</v>
      </c>
      <c r="C25" s="6">
        <v>0</v>
      </c>
      <c r="D25" s="6">
        <v>2.3700000000000001E-3</v>
      </c>
      <c r="E25" s="6">
        <v>0.27114814999999998</v>
      </c>
      <c r="F25" s="6">
        <v>0</v>
      </c>
      <c r="G25" s="6">
        <v>0.12880985</v>
      </c>
      <c r="H25" s="6">
        <v>1.9064932999999999E-2</v>
      </c>
      <c r="I25" s="6">
        <v>7.5120199999999998E-2</v>
      </c>
      <c r="J25" s="6">
        <v>2.2399999999999998E-3</v>
      </c>
      <c r="K25" s="6">
        <v>0</v>
      </c>
      <c r="L25" s="6">
        <v>7.5723849999999995E-2</v>
      </c>
      <c r="M25" s="6">
        <v>1.2331666999999999E-2</v>
      </c>
      <c r="N25" s="6">
        <v>1.26424E-2</v>
      </c>
      <c r="O25" s="6">
        <f t="shared" si="0"/>
        <v>4.9954254166666677E-2</v>
      </c>
      <c r="P25" s="6"/>
    </row>
    <row r="26" spans="1:16" x14ac:dyDescent="0.2">
      <c r="A26" s="6" t="s">
        <v>22</v>
      </c>
      <c r="B26" s="6" t="s">
        <v>52</v>
      </c>
      <c r="C26" s="6">
        <v>0.59943253299999999</v>
      </c>
      <c r="D26" s="6">
        <v>1.634387</v>
      </c>
      <c r="E26" s="6">
        <v>1.47808575</v>
      </c>
      <c r="F26" s="6">
        <v>7.0318221669999996</v>
      </c>
      <c r="G26" s="6">
        <v>0.40537174999999998</v>
      </c>
      <c r="H26" s="6">
        <v>6.4803787000000002</v>
      </c>
      <c r="I26" s="6">
        <v>4.1083021300000002</v>
      </c>
      <c r="J26" s="6">
        <v>7.2887518</v>
      </c>
      <c r="K26" s="6">
        <v>1.3911609</v>
      </c>
      <c r="L26" s="6">
        <v>9.9422399999999994E-2</v>
      </c>
      <c r="M26" s="6">
        <v>3.0573391000000001</v>
      </c>
      <c r="N26" s="6">
        <v>2.565149667</v>
      </c>
      <c r="O26" s="6">
        <f t="shared" si="0"/>
        <v>3.0116336580833334</v>
      </c>
      <c r="P26" s="6"/>
    </row>
    <row r="27" spans="1:16" x14ac:dyDescent="0.2">
      <c r="A27" s="6" t="s">
        <v>22</v>
      </c>
      <c r="B27" s="6" t="s">
        <v>54</v>
      </c>
      <c r="C27" s="6">
        <v>1.7984239</v>
      </c>
      <c r="D27" s="6">
        <v>1.4316681</v>
      </c>
      <c r="E27" s="6">
        <v>0.44775355</v>
      </c>
      <c r="F27" s="6">
        <v>0.74087020000000003</v>
      </c>
      <c r="G27" s="6">
        <v>0.1015828</v>
      </c>
      <c r="H27" s="6">
        <v>1.4330034330000001</v>
      </c>
      <c r="I27" s="6">
        <v>1.77588583</v>
      </c>
      <c r="J27" s="6">
        <v>1.186078333</v>
      </c>
      <c r="K27" s="6">
        <v>1.7664471669999999</v>
      </c>
      <c r="L27" s="6">
        <v>0.32661354999999997</v>
      </c>
      <c r="M27" s="6">
        <v>3.0495313999999998</v>
      </c>
      <c r="N27" s="6">
        <v>3.1199658669999999</v>
      </c>
      <c r="O27" s="6">
        <f t="shared" si="0"/>
        <v>1.4314853441666664</v>
      </c>
      <c r="P27" s="6"/>
    </row>
    <row r="28" spans="1:16" x14ac:dyDescent="0.2">
      <c r="A28" s="6" t="s">
        <v>22</v>
      </c>
      <c r="B28" s="6" t="s">
        <v>51</v>
      </c>
      <c r="C28" s="6">
        <v>3.6916020999999999</v>
      </c>
      <c r="D28" s="6">
        <v>5.6296291329999999</v>
      </c>
      <c r="E28" s="6">
        <v>0.53135624999999997</v>
      </c>
      <c r="F28" s="6">
        <v>8.6678666999999994</v>
      </c>
      <c r="G28" s="6">
        <v>1.594015E-2</v>
      </c>
      <c r="H28" s="6">
        <v>1.9913217000000001</v>
      </c>
      <c r="I28" s="6">
        <v>2.8166939000000002</v>
      </c>
      <c r="J28" s="6">
        <v>1.611797567</v>
      </c>
      <c r="K28" s="6">
        <v>1.8331693330000001</v>
      </c>
      <c r="L28" s="6">
        <v>5.7869999999999996E-3</v>
      </c>
      <c r="M28" s="6">
        <v>5.4585786000000001</v>
      </c>
      <c r="N28" s="6">
        <v>4.3993096669999998</v>
      </c>
      <c r="O28" s="6">
        <f t="shared" si="0"/>
        <v>3.0544210083333332</v>
      </c>
      <c r="P28" s="6"/>
    </row>
    <row r="29" spans="1:16" x14ac:dyDescent="0.2">
      <c r="A29" s="6" t="s">
        <v>22</v>
      </c>
      <c r="B29" s="6" t="s">
        <v>53</v>
      </c>
      <c r="C29" s="6">
        <v>2.2834443329999998</v>
      </c>
      <c r="D29" s="6">
        <v>1.7526979</v>
      </c>
      <c r="E29" s="6">
        <v>3.1470966499999999</v>
      </c>
      <c r="F29" s="6">
        <v>2.2253620000000001</v>
      </c>
      <c r="G29" s="6">
        <v>2.1857780999999998</v>
      </c>
      <c r="H29" s="6">
        <v>5.5276581</v>
      </c>
      <c r="I29" s="6">
        <v>2.4064022999999999</v>
      </c>
      <c r="J29" s="6">
        <v>3.5936663000000002</v>
      </c>
      <c r="K29" s="6">
        <v>3.1642355329999998</v>
      </c>
      <c r="L29" s="6">
        <v>0.48456454999999998</v>
      </c>
      <c r="M29" s="6">
        <v>1.0245181670000001</v>
      </c>
      <c r="N29" s="6">
        <v>0.82301456699999997</v>
      </c>
      <c r="O29" s="6">
        <f t="shared" si="0"/>
        <v>2.3848698750000001</v>
      </c>
      <c r="P29" s="6"/>
    </row>
    <row r="30" spans="1:16" x14ac:dyDescent="0.2">
      <c r="A30" s="6" t="s">
        <v>22</v>
      </c>
      <c r="B30" s="6" t="s">
        <v>227</v>
      </c>
      <c r="C30" s="6">
        <v>5.5251773000000002</v>
      </c>
      <c r="D30" s="6">
        <v>2.7025972999999999</v>
      </c>
      <c r="E30" s="6">
        <v>0.75415365000000001</v>
      </c>
      <c r="F30" s="6">
        <v>0.90267989999999998</v>
      </c>
      <c r="G30" s="6">
        <v>0.45252310000000001</v>
      </c>
      <c r="H30" s="6">
        <v>1.8162515669999999</v>
      </c>
      <c r="I30" s="6">
        <v>1.6969641</v>
      </c>
      <c r="J30" s="6">
        <v>0.80690536700000004</v>
      </c>
      <c r="K30" s="6">
        <v>2.8948898669999998</v>
      </c>
      <c r="L30" s="6">
        <v>0.3198377</v>
      </c>
      <c r="M30" s="6">
        <v>0.71801139999999997</v>
      </c>
      <c r="N30" s="6">
        <v>0.91203540000000005</v>
      </c>
      <c r="O30" s="6">
        <f t="shared" si="0"/>
        <v>1.6251688875833334</v>
      </c>
      <c r="P30" s="6"/>
    </row>
    <row r="31" spans="1:16" x14ac:dyDescent="0.2">
      <c r="A31" s="6" t="s">
        <v>23</v>
      </c>
      <c r="B31" s="6" t="s">
        <v>49</v>
      </c>
      <c r="C31" s="6">
        <v>0.55511149999999998</v>
      </c>
      <c r="D31" s="6">
        <v>0.80733003299999995</v>
      </c>
      <c r="E31" s="6">
        <v>0.16657435000000001</v>
      </c>
      <c r="F31" s="6">
        <v>0.70894650000000003</v>
      </c>
      <c r="G31" s="6">
        <v>0</v>
      </c>
      <c r="H31" s="6">
        <v>3.6572367000000001E-2</v>
      </c>
      <c r="I31" s="6">
        <v>0.43873377000000002</v>
      </c>
      <c r="J31" s="6">
        <v>0.123943833</v>
      </c>
      <c r="K31" s="6">
        <v>0.62557123299999995</v>
      </c>
      <c r="L31" s="6">
        <v>1.4862067999999999</v>
      </c>
      <c r="M31" s="6">
        <v>2.8593474670000001</v>
      </c>
      <c r="N31" s="6">
        <v>1.835918267</v>
      </c>
      <c r="O31" s="6">
        <f t="shared" si="0"/>
        <v>0.80368801000000012</v>
      </c>
      <c r="P31" s="6"/>
    </row>
    <row r="32" spans="1:16" x14ac:dyDescent="0.2">
      <c r="A32" s="6" t="s">
        <v>23</v>
      </c>
      <c r="B32" s="6" t="s">
        <v>52</v>
      </c>
      <c r="C32" s="6">
        <v>6.0633933000000001E-2</v>
      </c>
      <c r="D32" s="6">
        <v>3.7844267000000001E-2</v>
      </c>
      <c r="E32" s="6">
        <v>1.6382150000000002E-2</v>
      </c>
      <c r="F32" s="6">
        <v>8.8891833000000003E-2</v>
      </c>
      <c r="G32" s="6">
        <v>0</v>
      </c>
      <c r="H32" s="6">
        <v>0.20464540000000001</v>
      </c>
      <c r="I32" s="6">
        <v>0.2528282</v>
      </c>
      <c r="J32" s="6">
        <v>0.28094219999999998</v>
      </c>
      <c r="K32" s="6">
        <v>0.20430173300000001</v>
      </c>
      <c r="L32" s="6">
        <v>4.8964899999999999E-2</v>
      </c>
      <c r="M32" s="6">
        <v>0.54529280000000002</v>
      </c>
      <c r="N32" s="6">
        <v>0.67138606700000003</v>
      </c>
      <c r="O32" s="6">
        <f t="shared" si="0"/>
        <v>0.20100945691666672</v>
      </c>
      <c r="P32" s="6"/>
    </row>
    <row r="33" spans="1:16" x14ac:dyDescent="0.2">
      <c r="A33" s="6" t="s">
        <v>23</v>
      </c>
      <c r="B33" s="6" t="s">
        <v>54</v>
      </c>
      <c r="C33" s="6">
        <v>0.39751646699999998</v>
      </c>
      <c r="D33" s="6">
        <v>0.61770386700000002</v>
      </c>
      <c r="E33" s="6">
        <v>0.22127959999999999</v>
      </c>
      <c r="F33" s="6">
        <v>0.287336867</v>
      </c>
      <c r="G33" s="6">
        <v>0.16278365</v>
      </c>
      <c r="H33" s="6">
        <v>1.2315385670000001</v>
      </c>
      <c r="I33" s="6">
        <v>1.1883730299999999</v>
      </c>
      <c r="J33" s="6">
        <v>1.1386134670000001</v>
      </c>
      <c r="K33" s="6">
        <v>1.707759933</v>
      </c>
      <c r="L33" s="6">
        <v>0.36242655000000001</v>
      </c>
      <c r="M33" s="6">
        <v>2.428348733</v>
      </c>
      <c r="N33" s="6">
        <v>1.896773933</v>
      </c>
      <c r="O33" s="6">
        <f t="shared" si="0"/>
        <v>0.97003788866666685</v>
      </c>
      <c r="P33" s="6"/>
    </row>
    <row r="34" spans="1:16" x14ac:dyDescent="0.2">
      <c r="A34" s="6" t="s">
        <v>23</v>
      </c>
      <c r="B34" s="6" t="s">
        <v>53</v>
      </c>
      <c r="C34" s="6">
        <v>0.23660970000000001</v>
      </c>
      <c r="D34" s="6">
        <v>0.19259283299999999</v>
      </c>
      <c r="E34" s="6">
        <v>0.32600190000000001</v>
      </c>
      <c r="F34" s="6">
        <v>0.24459130000000001</v>
      </c>
      <c r="G34" s="6">
        <v>6.4302750000000006E-2</v>
      </c>
      <c r="H34" s="6">
        <v>0.23910733300000001</v>
      </c>
      <c r="I34" s="6">
        <v>0.12504572999999999</v>
      </c>
      <c r="J34" s="6">
        <v>0.14534546700000001</v>
      </c>
      <c r="K34" s="6">
        <v>2.9466467E-2</v>
      </c>
      <c r="L34" s="6">
        <v>2.517985E-2</v>
      </c>
      <c r="M34" s="6">
        <v>1.1874833E-2</v>
      </c>
      <c r="N34" s="6">
        <v>1.2624700000000001E-2</v>
      </c>
      <c r="O34" s="6">
        <f t="shared" si="0"/>
        <v>0.13772857191666668</v>
      </c>
      <c r="P34" s="6"/>
    </row>
    <row r="35" spans="1:16" x14ac:dyDescent="0.2">
      <c r="A35" s="6" t="s">
        <v>23</v>
      </c>
      <c r="B35" s="6" t="s">
        <v>227</v>
      </c>
      <c r="C35" s="6">
        <v>0.17449076699999999</v>
      </c>
      <c r="D35" s="6">
        <v>0.11297966700000001</v>
      </c>
      <c r="E35" s="6">
        <v>3.6458699999999997E-2</v>
      </c>
      <c r="F35" s="6">
        <v>2.9472867E-2</v>
      </c>
      <c r="G35" s="6">
        <v>3.0857200000000001E-2</v>
      </c>
      <c r="H35" s="6">
        <v>3.2429766999999998E-2</v>
      </c>
      <c r="I35" s="6">
        <v>0.17995907</v>
      </c>
      <c r="J35" s="6">
        <v>7.6219466999999999E-2</v>
      </c>
      <c r="K35" s="6">
        <v>2.0057566999999998E-2</v>
      </c>
      <c r="L35" s="6">
        <v>0</v>
      </c>
      <c r="M35" s="6">
        <v>0.12379936699999999</v>
      </c>
      <c r="N35" s="6">
        <v>0.209698567</v>
      </c>
      <c r="O35" s="6">
        <f t="shared" si="0"/>
        <v>8.5535250499999993E-2</v>
      </c>
      <c r="P35" s="6"/>
    </row>
    <row r="36" spans="1:16" x14ac:dyDescent="0.2">
      <c r="A36" s="6" t="s">
        <v>24</v>
      </c>
      <c r="B36" s="6" t="s">
        <v>54</v>
      </c>
      <c r="C36" s="6">
        <v>2.3728199999999999</v>
      </c>
      <c r="D36" s="6">
        <v>2.0076364330000001</v>
      </c>
      <c r="E36" s="6">
        <v>2.03053785</v>
      </c>
      <c r="F36" s="6">
        <v>1.8907715</v>
      </c>
      <c r="G36" s="6">
        <v>1.7131345</v>
      </c>
      <c r="H36" s="6">
        <v>4.0040291330000004</v>
      </c>
      <c r="I36" s="6">
        <v>2.2997453700000001</v>
      </c>
      <c r="J36" s="6">
        <v>2.7639573</v>
      </c>
      <c r="K36" s="6">
        <v>3.4694150000000001</v>
      </c>
      <c r="L36" s="6">
        <v>0.71859445</v>
      </c>
      <c r="M36" s="6">
        <v>2.8378893330000001</v>
      </c>
      <c r="N36" s="6">
        <v>3.2875597999999999</v>
      </c>
      <c r="O36" s="6">
        <f t="shared" si="0"/>
        <v>2.4496742224166672</v>
      </c>
      <c r="P36" s="6"/>
    </row>
    <row r="37" spans="1:16" x14ac:dyDescent="0.2">
      <c r="A37" s="6" t="s">
        <v>24</v>
      </c>
      <c r="B37" s="6" t="s">
        <v>51</v>
      </c>
      <c r="C37" s="6">
        <v>1.2234784670000001</v>
      </c>
      <c r="D37" s="6">
        <v>1.5834469</v>
      </c>
      <c r="E37" s="6">
        <v>9.9389900000000003E-2</v>
      </c>
      <c r="F37" s="6">
        <v>1.2882425669999999</v>
      </c>
      <c r="G37" s="6">
        <v>0</v>
      </c>
      <c r="H37" s="6">
        <v>0.13504530000000001</v>
      </c>
      <c r="I37" s="6">
        <v>0.44306020000000002</v>
      </c>
      <c r="J37" s="6">
        <v>0.132022467</v>
      </c>
      <c r="K37" s="6">
        <v>0.26948346699999998</v>
      </c>
      <c r="L37" s="6">
        <v>1.46728E-2</v>
      </c>
      <c r="M37" s="6">
        <v>0.85160186699999996</v>
      </c>
      <c r="N37" s="6">
        <v>0.86710653299999996</v>
      </c>
      <c r="O37" s="6">
        <f t="shared" si="0"/>
        <v>0.57562920566666653</v>
      </c>
      <c r="P37" s="6"/>
    </row>
    <row r="38" spans="1:16" x14ac:dyDescent="0.2">
      <c r="A38" s="6" t="s">
        <v>24</v>
      </c>
      <c r="B38" s="6" t="s">
        <v>227</v>
      </c>
      <c r="C38" s="6">
        <v>2.8823969329999999</v>
      </c>
      <c r="D38" s="6">
        <v>3.9308336000000001</v>
      </c>
      <c r="E38" s="6">
        <v>0.54226795000000005</v>
      </c>
      <c r="F38" s="6">
        <v>6.5245420000000003</v>
      </c>
      <c r="G38" s="6">
        <v>0.1790968</v>
      </c>
      <c r="H38" s="6">
        <v>3.651233033</v>
      </c>
      <c r="I38" s="6">
        <v>2.5132390999999998</v>
      </c>
      <c r="J38" s="6">
        <v>1.786872333</v>
      </c>
      <c r="K38" s="6">
        <v>1.8515957329999999</v>
      </c>
      <c r="L38" s="6">
        <v>0.14834855</v>
      </c>
      <c r="M38" s="6">
        <v>3.586979833</v>
      </c>
      <c r="N38" s="6">
        <v>3.2318302330000002</v>
      </c>
      <c r="O38" s="6">
        <f t="shared" si="0"/>
        <v>2.569103008166667</v>
      </c>
      <c r="P38" s="6"/>
    </row>
    <row r="39" spans="1:16" x14ac:dyDescent="0.2">
      <c r="A39" s="6" t="s">
        <v>24</v>
      </c>
      <c r="B39" s="6" t="s">
        <v>56</v>
      </c>
      <c r="C39" s="6">
        <v>0.90584189999999998</v>
      </c>
      <c r="D39" s="6">
        <v>2.2225981670000001</v>
      </c>
      <c r="E39" s="6">
        <v>1.2668436000000001</v>
      </c>
      <c r="F39" s="6">
        <v>9.0275289999999995</v>
      </c>
      <c r="G39" s="6">
        <v>0.32366075</v>
      </c>
      <c r="H39" s="6">
        <v>7.5917694999999998</v>
      </c>
      <c r="I39" s="6">
        <v>3.6022514999999999</v>
      </c>
      <c r="J39" s="6">
        <v>7.9886899329999999</v>
      </c>
      <c r="K39" s="6">
        <v>1.511110033</v>
      </c>
      <c r="L39" s="6">
        <v>3.0058649999999999E-2</v>
      </c>
      <c r="M39" s="6">
        <v>2.2886313669999998</v>
      </c>
      <c r="N39" s="6">
        <v>2.4134467669999999</v>
      </c>
      <c r="O39" s="6">
        <f t="shared" si="0"/>
        <v>3.2643692639166666</v>
      </c>
      <c r="P39" s="6"/>
    </row>
    <row r="40" spans="1:16" x14ac:dyDescent="0.2">
      <c r="A40" s="6" t="s">
        <v>24</v>
      </c>
      <c r="B40" s="6" t="s">
        <v>57</v>
      </c>
      <c r="C40" s="6">
        <v>0.38899899999999998</v>
      </c>
      <c r="D40" s="6">
        <v>0.60885173299999995</v>
      </c>
      <c r="E40" s="6">
        <v>6.3400150000000002E-2</v>
      </c>
      <c r="F40" s="6">
        <v>0.53659500000000004</v>
      </c>
      <c r="G40" s="6">
        <v>0</v>
      </c>
      <c r="H40" s="6">
        <v>0.16207586700000001</v>
      </c>
      <c r="I40" s="6">
        <v>0.25172742999999997</v>
      </c>
      <c r="J40" s="6">
        <v>0.13495306700000001</v>
      </c>
      <c r="K40" s="6">
        <v>0.94397710000000001</v>
      </c>
      <c r="L40" s="6">
        <v>2.4438000000000001E-2</v>
      </c>
      <c r="M40" s="6">
        <v>0.37516516700000002</v>
      </c>
      <c r="N40" s="6">
        <v>0.25486113300000002</v>
      </c>
      <c r="O40" s="6">
        <f t="shared" si="0"/>
        <v>0.31208697058333335</v>
      </c>
      <c r="P40" s="6"/>
    </row>
    <row r="41" spans="1:16" x14ac:dyDescent="0.2">
      <c r="A41" s="6" t="s">
        <v>25</v>
      </c>
      <c r="B41" s="6" t="s">
        <v>54</v>
      </c>
      <c r="C41" s="6">
        <v>0.49202016700000001</v>
      </c>
      <c r="D41" s="6">
        <v>0.3691082</v>
      </c>
      <c r="E41" s="6">
        <v>3.9052950000000003E-2</v>
      </c>
      <c r="F41" s="6">
        <v>9.4271999999999995E-2</v>
      </c>
      <c r="G41" s="6">
        <v>0</v>
      </c>
      <c r="H41" s="6">
        <v>1.2600000000000001E-3</v>
      </c>
      <c r="I41" s="6">
        <v>0.17094053000000001</v>
      </c>
      <c r="J41" s="6">
        <v>1.3747267000000001E-2</v>
      </c>
      <c r="K41" s="6">
        <v>3.4932900000000003E-2</v>
      </c>
      <c r="L41" s="6">
        <v>0</v>
      </c>
      <c r="M41" s="6">
        <v>0.108689933</v>
      </c>
      <c r="N41" s="6">
        <v>0.22788766699999999</v>
      </c>
      <c r="O41" s="6">
        <f t="shared" si="0"/>
        <v>0.12932596783333336</v>
      </c>
      <c r="P41" s="6"/>
    </row>
    <row r="42" spans="1:16" x14ac:dyDescent="0.2">
      <c r="A42" s="6" t="s">
        <v>25</v>
      </c>
      <c r="B42" s="6" t="s">
        <v>46</v>
      </c>
      <c r="C42" s="6">
        <v>0.33381623300000002</v>
      </c>
      <c r="D42" s="6">
        <v>0.44810539999999999</v>
      </c>
      <c r="E42" s="6">
        <v>0.44930755</v>
      </c>
      <c r="F42" s="6">
        <v>1.365381167</v>
      </c>
      <c r="G42" s="6">
        <v>1.4145658999999999</v>
      </c>
      <c r="H42" s="6">
        <v>4.3674075329999997</v>
      </c>
      <c r="I42" s="6">
        <v>2.9072325299999999</v>
      </c>
      <c r="J42" s="6">
        <v>2.5361689670000001</v>
      </c>
      <c r="K42" s="6">
        <v>3.3919500669999998</v>
      </c>
      <c r="L42" s="6">
        <v>0.55060889999999996</v>
      </c>
      <c r="M42" s="6">
        <v>1.0128330999999999</v>
      </c>
      <c r="N42" s="6">
        <v>0.86820366699999996</v>
      </c>
      <c r="O42" s="6">
        <f t="shared" si="0"/>
        <v>1.6371317511666665</v>
      </c>
      <c r="P42" s="6"/>
    </row>
    <row r="43" spans="1:16" x14ac:dyDescent="0.2">
      <c r="A43" s="6" t="s">
        <v>25</v>
      </c>
      <c r="B43" s="6" t="s">
        <v>229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9.3652000000000006E-3</v>
      </c>
      <c r="K43" s="6">
        <v>0.1269487</v>
      </c>
      <c r="L43" s="6">
        <v>0</v>
      </c>
      <c r="M43" s="6">
        <v>0.119455333</v>
      </c>
      <c r="N43" s="6">
        <v>0</v>
      </c>
      <c r="O43" s="6">
        <f t="shared" si="0"/>
        <v>2.1314102749999998E-2</v>
      </c>
      <c r="P43" s="6"/>
    </row>
    <row r="44" spans="1:16" x14ac:dyDescent="0.2">
      <c r="A44" s="6" t="s">
        <v>25</v>
      </c>
      <c r="B44" s="6" t="s">
        <v>58</v>
      </c>
      <c r="C44" s="6">
        <v>8.0586500000000005E-2</v>
      </c>
      <c r="D44" s="6">
        <v>0.115125333</v>
      </c>
      <c r="E44" s="6">
        <v>2.8449999999999999E-3</v>
      </c>
      <c r="F44" s="6">
        <v>7.3257900000000001E-2</v>
      </c>
      <c r="G44" s="6">
        <v>0</v>
      </c>
      <c r="H44" s="6">
        <v>1.3694866999999999E-2</v>
      </c>
      <c r="I44" s="6">
        <v>7.3303800000000002E-2</v>
      </c>
      <c r="J44" s="6">
        <v>5.9583329999999997E-3</v>
      </c>
      <c r="K44" s="6">
        <v>4.451333E-3</v>
      </c>
      <c r="L44" s="6">
        <v>0</v>
      </c>
      <c r="M44" s="6">
        <v>7.3367670000000001E-3</v>
      </c>
      <c r="N44" s="6">
        <v>1.1204E-2</v>
      </c>
      <c r="O44" s="6">
        <f t="shared" si="0"/>
        <v>3.2313652749999998E-2</v>
      </c>
      <c r="P44" s="6"/>
    </row>
    <row r="45" spans="1:16" x14ac:dyDescent="0.2">
      <c r="A45" s="6" t="s">
        <v>59</v>
      </c>
      <c r="B45" s="6" t="s">
        <v>228</v>
      </c>
      <c r="C45" s="6">
        <v>8.3100632999999993E-2</v>
      </c>
      <c r="D45" s="6">
        <v>2.6926967E-2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f t="shared" si="0"/>
        <v>9.1689666666666652E-3</v>
      </c>
      <c r="P45" s="6"/>
    </row>
    <row r="46" spans="1:16" x14ac:dyDescent="0.2">
      <c r="A46" s="6" t="s">
        <v>27</v>
      </c>
      <c r="B46" s="6" t="s">
        <v>49</v>
      </c>
      <c r="C46" s="6">
        <v>9.0749183359999996</v>
      </c>
      <c r="D46" s="6">
        <v>13.046293186</v>
      </c>
      <c r="E46" s="6">
        <v>1.9131360399999999</v>
      </c>
      <c r="F46" s="6">
        <v>9.9930029949999994</v>
      </c>
      <c r="G46" s="6">
        <v>1.7807172999999999E-2</v>
      </c>
      <c r="H46" s="6">
        <v>0.56731772999999996</v>
      </c>
      <c r="I46" s="6">
        <v>6.5673259499999999</v>
      </c>
      <c r="J46" s="6">
        <v>1.7781832319999999</v>
      </c>
      <c r="K46" s="6">
        <v>6.4423585900000004</v>
      </c>
      <c r="L46" s="6">
        <v>11.51776785</v>
      </c>
      <c r="M46" s="6">
        <v>22.029636921000002</v>
      </c>
      <c r="N46" s="6">
        <v>13.079792159</v>
      </c>
      <c r="O46" s="6">
        <f t="shared" si="0"/>
        <v>8.0022950135000013</v>
      </c>
      <c r="P46" s="6"/>
    </row>
    <row r="47" spans="1:16" x14ac:dyDescent="0.2">
      <c r="A47" s="6" t="s">
        <v>27</v>
      </c>
      <c r="B47" s="6" t="s">
        <v>52</v>
      </c>
      <c r="C47" s="6">
        <v>1.283155305</v>
      </c>
      <c r="D47" s="6">
        <v>3.3980149150000001</v>
      </c>
      <c r="E47" s="6">
        <v>4.2450166999999999</v>
      </c>
      <c r="F47" s="6">
        <v>16.707739995000001</v>
      </c>
      <c r="G47" s="6">
        <v>0.97033581899999999</v>
      </c>
      <c r="H47" s="6">
        <v>14.644775363000001</v>
      </c>
      <c r="I47" s="6">
        <v>9.0698614200000005</v>
      </c>
      <c r="J47" s="6">
        <v>16.077589242999998</v>
      </c>
      <c r="K47" s="6">
        <v>3.1216861690000002</v>
      </c>
      <c r="L47" s="6">
        <v>0.24080842</v>
      </c>
      <c r="M47" s="6">
        <v>7.0663480859999996</v>
      </c>
      <c r="N47" s="6">
        <v>5.5891709079999998</v>
      </c>
      <c r="O47" s="6">
        <f t="shared" si="0"/>
        <v>6.8678751952499999</v>
      </c>
      <c r="P47" s="6"/>
    </row>
    <row r="48" spans="1:16" x14ac:dyDescent="0.2">
      <c r="A48" s="6" t="s">
        <v>27</v>
      </c>
      <c r="B48" s="6" t="s">
        <v>45</v>
      </c>
      <c r="C48" s="6">
        <v>5.0156389099999998</v>
      </c>
      <c r="D48" s="6">
        <v>3.3359733340000002</v>
      </c>
      <c r="E48" s="6">
        <v>0.73196923000000003</v>
      </c>
      <c r="F48" s="6">
        <v>2.39840148</v>
      </c>
      <c r="G48" s="6">
        <v>0.17397881100000001</v>
      </c>
      <c r="H48" s="6">
        <v>1.10301242</v>
      </c>
      <c r="I48" s="6">
        <v>2.03794019</v>
      </c>
      <c r="J48" s="6">
        <v>3.1876534009999999</v>
      </c>
      <c r="K48" s="6">
        <v>4.3263075750000004</v>
      </c>
      <c r="L48" s="6">
        <v>30.858872699999999</v>
      </c>
      <c r="M48" s="6">
        <v>13.828714983999999</v>
      </c>
      <c r="N48" s="6">
        <v>8.9075007100000008</v>
      </c>
      <c r="O48" s="6">
        <f t="shared" si="0"/>
        <v>6.3254969787500004</v>
      </c>
      <c r="P48" s="6"/>
    </row>
    <row r="49" spans="1:16" x14ac:dyDescent="0.2">
      <c r="A49" s="6" t="s">
        <v>27</v>
      </c>
      <c r="B49" s="6" t="s">
        <v>44</v>
      </c>
      <c r="C49" s="6">
        <v>4.1739777240000002</v>
      </c>
      <c r="D49" s="6">
        <v>2.6447517600000001</v>
      </c>
      <c r="E49" s="6">
        <v>2.7911193600000002</v>
      </c>
      <c r="F49" s="6">
        <v>1.1965480989999999</v>
      </c>
      <c r="G49" s="6">
        <v>1.4639839400000001</v>
      </c>
      <c r="H49" s="6">
        <v>2.9834990650000002</v>
      </c>
      <c r="I49" s="6">
        <v>6.4620262799999999</v>
      </c>
      <c r="J49" s="6">
        <v>3.8548111170000001</v>
      </c>
      <c r="K49" s="6">
        <v>9.1182738889999992</v>
      </c>
      <c r="L49" s="6">
        <v>20.217750930000001</v>
      </c>
      <c r="M49" s="6">
        <v>5.7138512419999996</v>
      </c>
      <c r="N49" s="6">
        <v>7.7621951420000004</v>
      </c>
      <c r="O49" s="6">
        <f t="shared" si="0"/>
        <v>5.6985657123333331</v>
      </c>
      <c r="P49" s="6"/>
    </row>
    <row r="50" spans="1:16" x14ac:dyDescent="0.2">
      <c r="A50" s="6" t="s">
        <v>27</v>
      </c>
      <c r="B50" s="6" t="s">
        <v>54</v>
      </c>
      <c r="C50" s="6">
        <v>4.371212399</v>
      </c>
      <c r="D50" s="6">
        <v>3.8303851099999999</v>
      </c>
      <c r="E50" s="6">
        <v>1.3328436800000001</v>
      </c>
      <c r="F50" s="6">
        <v>2.6980039200000001</v>
      </c>
      <c r="G50" s="6">
        <v>0.37651316499999998</v>
      </c>
      <c r="H50" s="6">
        <v>7.3195321309999999</v>
      </c>
      <c r="I50" s="6">
        <v>6.3042600499999999</v>
      </c>
      <c r="J50" s="6">
        <v>4.9795055880000003</v>
      </c>
      <c r="K50" s="6">
        <v>8.5431076210000008</v>
      </c>
      <c r="L50" s="6">
        <v>2.3942715699999999</v>
      </c>
      <c r="M50" s="6">
        <v>9.9145408130000003</v>
      </c>
      <c r="N50" s="6">
        <v>8.9560107910000006</v>
      </c>
      <c r="O50" s="6">
        <f t="shared" si="0"/>
        <v>5.0850155698333337</v>
      </c>
      <c r="P50" s="6"/>
    </row>
    <row r="51" spans="1:16" x14ac:dyDescent="0.2">
      <c r="A51" s="6" t="s">
        <v>27</v>
      </c>
      <c r="B51" s="6" t="s">
        <v>51</v>
      </c>
      <c r="C51" s="6">
        <v>6.6049557190000003</v>
      </c>
      <c r="D51" s="6">
        <v>9.8023267539999992</v>
      </c>
      <c r="E51" s="6">
        <v>0.67974528999999995</v>
      </c>
      <c r="F51" s="6">
        <v>13.448119093000001</v>
      </c>
      <c r="G51" s="6">
        <v>6.9086299999999998E-3</v>
      </c>
      <c r="H51" s="6">
        <v>3.0626079810000002</v>
      </c>
      <c r="I51" s="6">
        <v>4.7273119899999996</v>
      </c>
      <c r="J51" s="6">
        <v>2.3843212669999998</v>
      </c>
      <c r="K51" s="6">
        <v>2.8728397910000001</v>
      </c>
      <c r="L51" s="6">
        <v>5.328227E-2</v>
      </c>
      <c r="M51" s="6">
        <v>8.8409129009999994</v>
      </c>
      <c r="N51" s="6">
        <v>7.3553226709999997</v>
      </c>
      <c r="O51" s="6">
        <f t="shared" si="0"/>
        <v>4.9865545297499985</v>
      </c>
      <c r="P51" s="6"/>
    </row>
    <row r="52" spans="1:16" x14ac:dyDescent="0.2">
      <c r="A52" s="6" t="s">
        <v>27</v>
      </c>
      <c r="B52" s="6" t="s">
        <v>53</v>
      </c>
      <c r="C52" s="6">
        <v>2.945777042</v>
      </c>
      <c r="D52" s="6">
        <v>2.242701152</v>
      </c>
      <c r="E52" s="6">
        <v>3.8251503599999999</v>
      </c>
      <c r="F52" s="6">
        <v>3.4872623109999998</v>
      </c>
      <c r="G52" s="6">
        <v>2.835621401</v>
      </c>
      <c r="H52" s="6">
        <v>7.9431628349999999</v>
      </c>
      <c r="I52" s="6">
        <v>3.6850110300000001</v>
      </c>
      <c r="J52" s="6">
        <v>5.4004228760000004</v>
      </c>
      <c r="K52" s="6">
        <v>5.7679737449999999</v>
      </c>
      <c r="L52" s="6">
        <v>0.91408091000000002</v>
      </c>
      <c r="M52" s="6">
        <v>2.2228547550000002</v>
      </c>
      <c r="N52" s="6">
        <v>1.9152824879999999</v>
      </c>
      <c r="O52" s="6">
        <f t="shared" si="0"/>
        <v>3.598775075416667</v>
      </c>
      <c r="P52" s="6"/>
    </row>
    <row r="53" spans="1:16" x14ac:dyDescent="0.2">
      <c r="A53" s="6" t="s">
        <v>27</v>
      </c>
      <c r="B53" s="6" t="s">
        <v>227</v>
      </c>
      <c r="C53" s="6">
        <v>10.603064845</v>
      </c>
      <c r="D53" s="6">
        <v>6.2258879489999996</v>
      </c>
      <c r="E53" s="6">
        <v>3.03691092</v>
      </c>
      <c r="F53" s="6">
        <v>5.2083518140000002</v>
      </c>
      <c r="G53" s="6">
        <v>2.3048966910000002</v>
      </c>
      <c r="H53" s="6">
        <v>8.7204388789999996</v>
      </c>
      <c r="I53" s="6">
        <v>8.0942727300000001</v>
      </c>
      <c r="J53" s="6">
        <v>3.8288216030000002</v>
      </c>
      <c r="K53" s="6">
        <v>9.9159055160000005</v>
      </c>
      <c r="L53" s="6">
        <v>2.0379310400000001</v>
      </c>
      <c r="M53" s="6">
        <v>6.1513758129999996</v>
      </c>
      <c r="N53" s="6">
        <v>6.2642784440000003</v>
      </c>
      <c r="O53" s="6">
        <f t="shared" si="0"/>
        <v>6.032678020333333</v>
      </c>
      <c r="P53" s="6"/>
    </row>
    <row r="54" spans="1:16" x14ac:dyDescent="0.2">
      <c r="A54" s="6" t="s">
        <v>60</v>
      </c>
      <c r="B54" s="6" t="s">
        <v>227</v>
      </c>
      <c r="C54" s="6">
        <v>7.0432966999999999E-2</v>
      </c>
      <c r="D54" s="6">
        <v>5.2598399999999997E-2</v>
      </c>
      <c r="E54" s="6">
        <v>0</v>
      </c>
      <c r="F54" s="6">
        <v>0</v>
      </c>
      <c r="G54" s="6">
        <v>0</v>
      </c>
      <c r="H54" s="6">
        <v>0.182284433</v>
      </c>
      <c r="I54" s="6">
        <v>0.1233882</v>
      </c>
      <c r="J54" s="6">
        <v>8.3858032999999998E-2</v>
      </c>
      <c r="K54" s="6">
        <v>7.4549167E-2</v>
      </c>
      <c r="L54" s="6">
        <v>0</v>
      </c>
      <c r="M54" s="6">
        <v>2.0699800000000001E-2</v>
      </c>
      <c r="N54" s="6">
        <v>4.2261670000000003E-3</v>
      </c>
      <c r="O54" s="6">
        <f t="shared" si="0"/>
        <v>5.1003097250000011E-2</v>
      </c>
      <c r="P54" s="6"/>
    </row>
    <row r="55" spans="1:16" x14ac:dyDescent="0.2">
      <c r="A55" s="6" t="s">
        <v>60</v>
      </c>
      <c r="B55" s="6" t="s">
        <v>61</v>
      </c>
      <c r="C55" s="6">
        <v>0.32288886700000002</v>
      </c>
      <c r="D55" s="6">
        <v>0.11255709999999999</v>
      </c>
      <c r="E55" s="6">
        <v>8.4100049999999996E-2</v>
      </c>
      <c r="F55" s="6">
        <v>1.7070399999999999E-2</v>
      </c>
      <c r="G55" s="6">
        <v>0</v>
      </c>
      <c r="H55" s="6">
        <v>6.0401329999999996E-3</v>
      </c>
      <c r="I55" s="6">
        <v>0.25564667000000002</v>
      </c>
      <c r="J55" s="6">
        <v>0.1414067</v>
      </c>
      <c r="K55" s="6">
        <v>0.20840783299999999</v>
      </c>
      <c r="L55" s="6">
        <v>0</v>
      </c>
      <c r="M55" s="6">
        <v>0</v>
      </c>
      <c r="N55" s="6">
        <v>5.3855966999999998E-2</v>
      </c>
      <c r="O55" s="6">
        <f t="shared" si="0"/>
        <v>0.10016447666666667</v>
      </c>
      <c r="P55" s="6"/>
    </row>
    <row r="56" spans="1:16" x14ac:dyDescent="0.2">
      <c r="A56" s="6" t="s">
        <v>60</v>
      </c>
      <c r="B56" s="6" t="s">
        <v>215</v>
      </c>
      <c r="C56" s="6">
        <v>3.9167367000000002E-2</v>
      </c>
      <c r="D56" s="6">
        <v>0</v>
      </c>
      <c r="E56" s="6">
        <v>1.33E-3</v>
      </c>
      <c r="F56" s="6">
        <v>5.8E-4</v>
      </c>
      <c r="G56" s="6">
        <v>1.9550000000000001E-3</v>
      </c>
      <c r="H56" s="6">
        <v>9.6796669999999994E-3</v>
      </c>
      <c r="I56" s="6">
        <v>0.33896870000000001</v>
      </c>
      <c r="J56" s="6">
        <v>9.0926000000000007E-2</v>
      </c>
      <c r="K56" s="6">
        <v>5.9234866999999997E-2</v>
      </c>
      <c r="L56" s="6">
        <v>5.7149999999999996E-3</v>
      </c>
      <c r="M56" s="6">
        <v>0</v>
      </c>
      <c r="N56" s="6">
        <v>9.1240999999999996E-3</v>
      </c>
      <c r="O56" s="6">
        <f t="shared" si="0"/>
        <v>4.6390058416666664E-2</v>
      </c>
      <c r="P56" s="6"/>
    </row>
    <row r="57" spans="1:16" x14ac:dyDescent="0.2">
      <c r="A57" s="6" t="s">
        <v>35</v>
      </c>
      <c r="B57" s="6" t="s">
        <v>52</v>
      </c>
      <c r="C57" s="6">
        <v>1.4650917729999999</v>
      </c>
      <c r="D57" s="6">
        <v>3.817636383</v>
      </c>
      <c r="E57" s="6">
        <v>3.8005463599999998</v>
      </c>
      <c r="F57" s="6">
        <v>18.821382264</v>
      </c>
      <c r="G57" s="6">
        <v>0.94440208000000003</v>
      </c>
      <c r="H57" s="6">
        <v>15.376834333</v>
      </c>
      <c r="I57" s="6">
        <v>10.029710250000001</v>
      </c>
      <c r="J57" s="6">
        <v>16.581849541</v>
      </c>
      <c r="K57" s="6">
        <v>3.4303904699999999</v>
      </c>
      <c r="L57" s="6">
        <v>0.25851026999999999</v>
      </c>
      <c r="M57" s="6">
        <v>8.2765100539999992</v>
      </c>
      <c r="N57" s="6">
        <v>6.4122683470000004</v>
      </c>
      <c r="O57" s="6">
        <f t="shared" si="0"/>
        <v>7.4345943437499997</v>
      </c>
      <c r="P57" s="6"/>
    </row>
    <row r="58" spans="1:16" x14ac:dyDescent="0.2">
      <c r="A58" s="6" t="s">
        <v>35</v>
      </c>
      <c r="B58" s="6" t="s">
        <v>51</v>
      </c>
      <c r="C58" s="6">
        <v>2.4325719220000002</v>
      </c>
      <c r="D58" s="6">
        <v>3.4985480419999999</v>
      </c>
      <c r="E58" s="6">
        <v>0.33540814000000002</v>
      </c>
      <c r="F58" s="6">
        <v>5.2234362360000004</v>
      </c>
      <c r="G58" s="6">
        <v>7.3991220000000002E-3</v>
      </c>
      <c r="H58" s="6">
        <v>1.199722972</v>
      </c>
      <c r="I58" s="6">
        <v>1.68856995</v>
      </c>
      <c r="J58" s="6">
        <v>0.79531086600000001</v>
      </c>
      <c r="K58" s="6">
        <v>1.181592405</v>
      </c>
      <c r="L58" s="6">
        <v>0</v>
      </c>
      <c r="M58" s="6">
        <v>3.3565757540000001</v>
      </c>
      <c r="N58" s="6">
        <v>2.6486872269999999</v>
      </c>
      <c r="O58" s="6">
        <f t="shared" si="0"/>
        <v>1.8639852196666666</v>
      </c>
      <c r="P58" s="6"/>
    </row>
    <row r="59" spans="1:16" x14ac:dyDescent="0.2">
      <c r="A59" s="6" t="s">
        <v>35</v>
      </c>
      <c r="B59" s="6" t="s">
        <v>53</v>
      </c>
      <c r="C59" s="6">
        <v>2.1856873540000001</v>
      </c>
      <c r="D59" s="6">
        <v>1.7942920520000001</v>
      </c>
      <c r="E59" s="6">
        <v>3.3562541700000001</v>
      </c>
      <c r="F59" s="6">
        <v>2.6877582339999999</v>
      </c>
      <c r="G59" s="6">
        <v>2.2564651429999998</v>
      </c>
      <c r="H59" s="6">
        <v>5.2627514790000003</v>
      </c>
      <c r="I59" s="6">
        <v>2.3504604900000001</v>
      </c>
      <c r="J59" s="6">
        <v>3.3734639890000002</v>
      </c>
      <c r="K59" s="6">
        <v>4.0550100310000001</v>
      </c>
      <c r="L59" s="6">
        <v>0.70223946000000004</v>
      </c>
      <c r="M59" s="6">
        <v>1.72679782</v>
      </c>
      <c r="N59" s="6">
        <v>1.0483666650000001</v>
      </c>
      <c r="O59" s="6">
        <f t="shared" si="0"/>
        <v>2.5666289072500001</v>
      </c>
      <c r="P59" s="6"/>
    </row>
    <row r="60" spans="1:16" x14ac:dyDescent="0.2">
      <c r="A60" s="6" t="s">
        <v>35</v>
      </c>
      <c r="B60" s="6" t="s">
        <v>227</v>
      </c>
      <c r="C60" s="6">
        <v>8.5318187559999998</v>
      </c>
      <c r="D60" s="6">
        <v>10.459268857</v>
      </c>
      <c r="E60" s="6">
        <v>3.8791855900000001</v>
      </c>
      <c r="F60" s="6">
        <v>19.752409518</v>
      </c>
      <c r="G60" s="6">
        <v>1.870354496</v>
      </c>
      <c r="H60" s="6">
        <v>16.284214125999998</v>
      </c>
      <c r="I60" s="6">
        <v>10.55356096</v>
      </c>
      <c r="J60" s="6">
        <v>15.144112635000001</v>
      </c>
      <c r="K60" s="6">
        <v>7.2309810649999999</v>
      </c>
      <c r="L60" s="6">
        <v>1.61899438</v>
      </c>
      <c r="M60" s="6">
        <v>11.936325262</v>
      </c>
      <c r="N60" s="6">
        <v>12.062311664999999</v>
      </c>
      <c r="O60" s="6">
        <f t="shared" si="0"/>
        <v>9.9436281091666654</v>
      </c>
      <c r="P60" s="6"/>
    </row>
    <row r="61" spans="1:16" x14ac:dyDescent="0.2">
      <c r="A61" s="6" t="s">
        <v>35</v>
      </c>
      <c r="B61" s="6" t="s">
        <v>62</v>
      </c>
      <c r="C61" s="6">
        <v>0.94798761799999998</v>
      </c>
      <c r="D61" s="6">
        <v>0.893096679</v>
      </c>
      <c r="E61" s="6">
        <v>2.1520089200000001</v>
      </c>
      <c r="F61" s="6">
        <v>1.3757724710000001</v>
      </c>
      <c r="G61" s="6">
        <v>1.577545521</v>
      </c>
      <c r="H61" s="6">
        <v>3.5619783699999998</v>
      </c>
      <c r="I61" s="6">
        <v>1.6510492000000001</v>
      </c>
      <c r="J61" s="6">
        <v>2.143771901</v>
      </c>
      <c r="K61" s="6">
        <v>2.7435209540000001</v>
      </c>
      <c r="L61" s="6">
        <v>0.45826604999999998</v>
      </c>
      <c r="M61" s="6">
        <v>0.68938137300000002</v>
      </c>
      <c r="N61" s="6">
        <v>0.47102249299999999</v>
      </c>
      <c r="O61" s="6">
        <f t="shared" si="0"/>
        <v>1.5554501291666669</v>
      </c>
      <c r="P61" s="6"/>
    </row>
    <row r="62" spans="1:16" x14ac:dyDescent="0.2">
      <c r="A62" s="6" t="s">
        <v>64</v>
      </c>
      <c r="B62" s="6" t="s">
        <v>44</v>
      </c>
      <c r="C62" s="6">
        <v>0.74780896699999999</v>
      </c>
      <c r="D62" s="6">
        <v>0.47034386700000003</v>
      </c>
      <c r="E62" s="6">
        <v>0.23389019999999999</v>
      </c>
      <c r="F62" s="6">
        <v>3.8528867000000001E-2</v>
      </c>
      <c r="G62" s="6">
        <v>6.1698999999999999E-3</v>
      </c>
      <c r="H62" s="6">
        <v>5.7951000000000001E-3</v>
      </c>
      <c r="I62" s="6">
        <v>8.5536500000000001E-2</v>
      </c>
      <c r="J62" s="6">
        <v>1.7320167000000001E-2</v>
      </c>
      <c r="K62" s="6">
        <v>1.0638E-2</v>
      </c>
      <c r="L62" s="6">
        <v>0.22441254999999999</v>
      </c>
      <c r="M62" s="6">
        <v>0</v>
      </c>
      <c r="N62" s="6">
        <v>0</v>
      </c>
      <c r="O62" s="6">
        <f t="shared" si="0"/>
        <v>0.15337034316666667</v>
      </c>
      <c r="P62" s="6"/>
    </row>
    <row r="63" spans="1:16" x14ac:dyDescent="0.2">
      <c r="A63" s="6" t="s">
        <v>64</v>
      </c>
      <c r="B63" s="6" t="s">
        <v>46</v>
      </c>
      <c r="C63" s="6">
        <v>4.6040330000000004E-3</v>
      </c>
      <c r="D63" s="6">
        <v>3.8185670000000001E-3</v>
      </c>
      <c r="E63" s="6">
        <v>7.8971500000000003E-3</v>
      </c>
      <c r="F63" s="6">
        <v>5.3233000000000004E-3</v>
      </c>
      <c r="G63" s="6">
        <v>6.0168550000000001E-2</v>
      </c>
      <c r="H63" s="6">
        <v>0.461620633</v>
      </c>
      <c r="I63" s="6">
        <v>9.3972070000000005E-2</v>
      </c>
      <c r="J63" s="6">
        <v>7.2248866999999994E-2</v>
      </c>
      <c r="K63" s="6">
        <v>3.1172966999999999E-2</v>
      </c>
      <c r="L63" s="6">
        <v>9.5375000000000008E-3</v>
      </c>
      <c r="M63" s="6">
        <v>1.0455267000000001E-2</v>
      </c>
      <c r="N63" s="6">
        <v>1.3355567E-2</v>
      </c>
      <c r="O63" s="6">
        <f t="shared" si="0"/>
        <v>6.4514539249999989E-2</v>
      </c>
      <c r="P63" s="6"/>
    </row>
    <row r="64" spans="1:16" x14ac:dyDescent="0.2">
      <c r="A64" s="6" t="s">
        <v>64</v>
      </c>
      <c r="B64" s="6" t="s">
        <v>229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1.3638933000000001E-2</v>
      </c>
      <c r="I64" s="6">
        <v>1.7559930000000001E-2</v>
      </c>
      <c r="J64" s="6">
        <v>4.1029932999999998E-2</v>
      </c>
      <c r="K64" s="6">
        <v>0.15345130000000001</v>
      </c>
      <c r="L64" s="6">
        <v>0</v>
      </c>
      <c r="M64" s="6">
        <v>0</v>
      </c>
      <c r="N64" s="6">
        <v>0.528933867</v>
      </c>
      <c r="O64" s="6">
        <f t="shared" si="0"/>
        <v>6.2884496916666657E-2</v>
      </c>
      <c r="P64" s="6"/>
    </row>
    <row r="65" spans="1:16" x14ac:dyDescent="0.2">
      <c r="A65" s="6" t="s">
        <v>16</v>
      </c>
      <c r="B65" s="6" t="s">
        <v>41</v>
      </c>
      <c r="C65" s="6">
        <v>0</v>
      </c>
      <c r="D65" s="6">
        <v>3.1566670000000002E-3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0.15396290000000001</v>
      </c>
      <c r="K65" s="6">
        <v>0.69803930000000003</v>
      </c>
      <c r="L65" s="6">
        <v>0</v>
      </c>
      <c r="M65" s="6">
        <v>3.3791367000000003E-2</v>
      </c>
      <c r="N65" s="6">
        <v>0</v>
      </c>
      <c r="O65" s="6">
        <f>AVERAGE(C65:N65)</f>
        <v>7.4079186166666672E-2</v>
      </c>
      <c r="P65" s="6"/>
    </row>
    <row r="66" spans="1:16" x14ac:dyDescent="0.2">
      <c r="A66" s="6" t="s">
        <v>16</v>
      </c>
      <c r="B66" s="6" t="s">
        <v>42</v>
      </c>
      <c r="C66" s="6">
        <v>4.9259400000000002E-2</v>
      </c>
      <c r="D66" s="6">
        <v>1.6649299999999999E-2</v>
      </c>
      <c r="E66" s="6">
        <v>0</v>
      </c>
      <c r="F66" s="6">
        <v>2.9987066999999999E-2</v>
      </c>
      <c r="G66" s="6">
        <v>0</v>
      </c>
      <c r="H66" s="6">
        <v>2.7133330000000001E-3</v>
      </c>
      <c r="I66" s="6">
        <v>0.24930522999999999</v>
      </c>
      <c r="J66" s="6">
        <v>5.6452866999999997E-2</v>
      </c>
      <c r="K66" s="6">
        <v>1.30548E-2</v>
      </c>
      <c r="L66" s="6">
        <v>1.9145300000000001E-2</v>
      </c>
      <c r="M66" s="6">
        <v>4.6637999999999999E-2</v>
      </c>
      <c r="N66" s="6">
        <v>8.4885267E-2</v>
      </c>
      <c r="O66" s="6">
        <f t="shared" ref="O66:O109" si="1">AVERAGE(C66:N66)</f>
        <v>4.7340880333333335E-2</v>
      </c>
      <c r="P66" s="6"/>
    </row>
    <row r="67" spans="1:16" x14ac:dyDescent="0.2">
      <c r="A67" s="6" t="s">
        <v>16</v>
      </c>
      <c r="B67" s="6" t="s">
        <v>40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4.6035E-3</v>
      </c>
      <c r="J67" s="6">
        <v>0.108575533</v>
      </c>
      <c r="K67" s="6">
        <v>0.11936049999999999</v>
      </c>
      <c r="L67" s="6">
        <v>0</v>
      </c>
      <c r="M67" s="6">
        <v>5.4000000000000001E-4</v>
      </c>
      <c r="N67" s="6">
        <v>0</v>
      </c>
      <c r="O67" s="6">
        <f t="shared" si="1"/>
        <v>1.9423294416666667E-2</v>
      </c>
      <c r="P67" s="6"/>
    </row>
    <row r="68" spans="1:16" x14ac:dyDescent="0.2">
      <c r="A68" s="6" t="s">
        <v>16</v>
      </c>
      <c r="B68" s="6" t="s">
        <v>228</v>
      </c>
      <c r="C68" s="6">
        <v>0.19758063300000001</v>
      </c>
      <c r="D68" s="6">
        <v>0.11485430000000001</v>
      </c>
      <c r="E68" s="6">
        <v>0</v>
      </c>
      <c r="F68" s="6">
        <v>4.0129670000000001E-3</v>
      </c>
      <c r="G68" s="6">
        <v>0</v>
      </c>
      <c r="H68" s="6">
        <v>0</v>
      </c>
      <c r="I68" s="6">
        <v>3.0385869999999999E-2</v>
      </c>
      <c r="J68" s="6">
        <v>0</v>
      </c>
      <c r="K68" s="6">
        <v>0</v>
      </c>
      <c r="L68" s="6">
        <v>0</v>
      </c>
      <c r="M68" s="6">
        <v>5.5474833000000001E-2</v>
      </c>
      <c r="N68" s="6">
        <v>0.43294833300000002</v>
      </c>
      <c r="O68" s="6">
        <f t="shared" si="1"/>
        <v>6.9604744666666662E-2</v>
      </c>
      <c r="P68" s="6"/>
    </row>
    <row r="69" spans="1:16" x14ac:dyDescent="0.2">
      <c r="A69" s="6" t="s">
        <v>29</v>
      </c>
      <c r="B69" s="6" t="s">
        <v>44</v>
      </c>
      <c r="C69" s="6">
        <v>2.9279300000000001E-2</v>
      </c>
      <c r="D69" s="6">
        <v>5.6563669999999998E-3</v>
      </c>
      <c r="E69" s="6">
        <v>2.51183E-2</v>
      </c>
      <c r="F69" s="6">
        <v>2.73913E-2</v>
      </c>
      <c r="G69" s="6">
        <v>0</v>
      </c>
      <c r="H69" s="6">
        <v>2.8206966999999999E-2</v>
      </c>
      <c r="I69" s="6">
        <v>6.1723630000000002E-2</v>
      </c>
      <c r="J69" s="6">
        <v>2.0380867E-2</v>
      </c>
      <c r="K69" s="6">
        <v>4.4359333000000001E-2</v>
      </c>
      <c r="L69" s="6">
        <v>0.67513354999999997</v>
      </c>
      <c r="M69" s="6">
        <v>0.72274579999999999</v>
      </c>
      <c r="N69" s="6">
        <v>0.866337833</v>
      </c>
      <c r="O69" s="6">
        <f t="shared" si="1"/>
        <v>0.20886110391666665</v>
      </c>
      <c r="P69" s="6"/>
    </row>
    <row r="70" spans="1:16" x14ac:dyDescent="0.2">
      <c r="A70" s="6" t="s">
        <v>29</v>
      </c>
      <c r="B70" s="6" t="s">
        <v>229</v>
      </c>
      <c r="C70" s="6">
        <v>0</v>
      </c>
      <c r="D70" s="6">
        <v>0.123480967</v>
      </c>
      <c r="E70" s="6">
        <v>0</v>
      </c>
      <c r="F70" s="6">
        <v>0</v>
      </c>
      <c r="G70" s="6">
        <v>0</v>
      </c>
      <c r="H70" s="6">
        <v>7.8836400000000001E-2</v>
      </c>
      <c r="I70" s="6">
        <v>5.2106130000000001E-2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f t="shared" si="1"/>
        <v>2.1201958083333333E-2</v>
      </c>
      <c r="P70" s="6"/>
    </row>
    <row r="71" spans="1:16" x14ac:dyDescent="0.2">
      <c r="A71" s="6" t="s">
        <v>29</v>
      </c>
      <c r="B71" s="6" t="s">
        <v>65</v>
      </c>
      <c r="C71" s="6">
        <v>7.8274667000000006E-2</v>
      </c>
      <c r="D71" s="6">
        <v>0</v>
      </c>
      <c r="E71" s="6">
        <v>0</v>
      </c>
      <c r="F71" s="6">
        <v>0</v>
      </c>
      <c r="G71" s="6">
        <v>0</v>
      </c>
      <c r="H71" s="6">
        <v>5.411E-3</v>
      </c>
      <c r="I71" s="6">
        <v>4.6319999999999998E-3</v>
      </c>
      <c r="J71" s="6">
        <v>7.752933E-3</v>
      </c>
      <c r="K71" s="6">
        <v>0</v>
      </c>
      <c r="L71" s="6">
        <v>1.8732550000000001E-2</v>
      </c>
      <c r="M71" s="6">
        <v>0</v>
      </c>
      <c r="N71" s="6">
        <v>5.3319699999999998E-2</v>
      </c>
      <c r="O71" s="6">
        <f t="shared" si="1"/>
        <v>1.40102375E-2</v>
      </c>
    </row>
    <row r="72" spans="1:16" x14ac:dyDescent="0.2">
      <c r="A72" s="6" t="s">
        <v>30</v>
      </c>
      <c r="B72" s="6" t="s">
        <v>45</v>
      </c>
      <c r="C72" s="6">
        <v>5.7676014330000003</v>
      </c>
      <c r="D72" s="6">
        <v>4.0505151000000001</v>
      </c>
      <c r="E72" s="6">
        <v>0.67661210000000005</v>
      </c>
      <c r="F72" s="6">
        <v>5.402260633</v>
      </c>
      <c r="G72" s="6">
        <v>0.53947999999999996</v>
      </c>
      <c r="H72" s="6">
        <v>2.2710680999999999</v>
      </c>
      <c r="I72" s="6">
        <v>4.3889995300000004</v>
      </c>
      <c r="J72" s="6">
        <v>6.1030068330000002</v>
      </c>
      <c r="K72" s="6">
        <v>6.2840790000000002</v>
      </c>
      <c r="L72" s="6">
        <v>21.474366849999999</v>
      </c>
      <c r="M72" s="6">
        <v>12.305295333</v>
      </c>
      <c r="N72" s="6">
        <v>7.6457066329999996</v>
      </c>
      <c r="O72" s="6">
        <f t="shared" si="1"/>
        <v>6.4090826287500002</v>
      </c>
    </row>
    <row r="73" spans="1:16" x14ac:dyDescent="0.2">
      <c r="A73" s="6" t="s">
        <v>30</v>
      </c>
      <c r="B73" s="6" t="s">
        <v>44</v>
      </c>
      <c r="C73" s="6">
        <v>1.2197316</v>
      </c>
      <c r="D73" s="6">
        <v>1.068702533</v>
      </c>
      <c r="E73" s="6">
        <v>0.67259659999999999</v>
      </c>
      <c r="F73" s="6">
        <v>0.50799740000000004</v>
      </c>
      <c r="G73" s="6">
        <v>0.52385274999999998</v>
      </c>
      <c r="H73" s="6">
        <v>1.7216977330000001</v>
      </c>
      <c r="I73" s="6">
        <v>3.1240230699999998</v>
      </c>
      <c r="J73" s="6">
        <v>3.3141780669999998</v>
      </c>
      <c r="K73" s="6">
        <v>5.9258556670000004</v>
      </c>
      <c r="L73" s="6">
        <v>7.5952982999999996</v>
      </c>
      <c r="M73" s="6">
        <v>2.2851195</v>
      </c>
      <c r="N73" s="6">
        <v>2.6488285</v>
      </c>
      <c r="O73" s="6">
        <f t="shared" si="1"/>
        <v>2.55065681</v>
      </c>
    </row>
    <row r="74" spans="1:16" x14ac:dyDescent="0.2">
      <c r="A74" s="6" t="s">
        <v>30</v>
      </c>
      <c r="B74" s="6" t="s">
        <v>227</v>
      </c>
      <c r="C74" s="6">
        <v>2.7638417999999998</v>
      </c>
      <c r="D74" s="6">
        <v>2.390369733</v>
      </c>
      <c r="E74" s="6">
        <v>1.5343673499999999</v>
      </c>
      <c r="F74" s="6">
        <v>1.0342875</v>
      </c>
      <c r="G74" s="6">
        <v>0.60386205000000004</v>
      </c>
      <c r="H74" s="6">
        <v>1.118411933</v>
      </c>
      <c r="I74" s="6">
        <v>2.5318842300000002</v>
      </c>
      <c r="J74" s="6">
        <v>0.59332200000000002</v>
      </c>
      <c r="K74" s="6">
        <v>1.197479167</v>
      </c>
      <c r="L74" s="6">
        <v>6.5069922499999997</v>
      </c>
      <c r="M74" s="6">
        <v>4.4860160330000003</v>
      </c>
      <c r="N74" s="6">
        <v>4.7380739329999999</v>
      </c>
      <c r="O74" s="6">
        <f t="shared" si="1"/>
        <v>2.4582423315833331</v>
      </c>
    </row>
    <row r="75" spans="1:16" x14ac:dyDescent="0.2">
      <c r="A75" s="6" t="s">
        <v>30</v>
      </c>
      <c r="B75" s="6" t="s">
        <v>46</v>
      </c>
      <c r="C75" s="6">
        <v>1.2903747329999999</v>
      </c>
      <c r="D75" s="6">
        <v>1.373661767</v>
      </c>
      <c r="E75" s="6">
        <v>0.51419490000000001</v>
      </c>
      <c r="F75" s="6">
        <v>2.2187226999999998</v>
      </c>
      <c r="G75" s="6">
        <v>2.0853125000000001</v>
      </c>
      <c r="H75" s="6">
        <v>6.9096812999999999</v>
      </c>
      <c r="I75" s="6">
        <v>4.8154672700000001</v>
      </c>
      <c r="J75" s="6">
        <v>3.3888904000000002</v>
      </c>
      <c r="K75" s="6">
        <v>3.914525233</v>
      </c>
      <c r="L75" s="6">
        <v>0.64904234999999999</v>
      </c>
      <c r="M75" s="6">
        <v>1.5888618329999999</v>
      </c>
      <c r="N75" s="6">
        <v>1.669177133</v>
      </c>
      <c r="O75" s="6">
        <f t="shared" si="1"/>
        <v>2.5348260099166668</v>
      </c>
    </row>
    <row r="76" spans="1:16" x14ac:dyDescent="0.2">
      <c r="A76" s="6" t="s">
        <v>30</v>
      </c>
      <c r="B76" s="6" t="s">
        <v>55</v>
      </c>
      <c r="C76" s="6">
        <v>0.21202396700000001</v>
      </c>
      <c r="D76" s="6">
        <v>0.42955270000000001</v>
      </c>
      <c r="E76" s="6">
        <v>0.74580964999999999</v>
      </c>
      <c r="F76" s="6">
        <v>0.71190863299999996</v>
      </c>
      <c r="G76" s="6">
        <v>0.17478949999999999</v>
      </c>
      <c r="H76" s="6">
        <v>0.810214133</v>
      </c>
      <c r="I76" s="6">
        <v>0.82775283</v>
      </c>
      <c r="J76" s="6">
        <v>0.23016200000000001</v>
      </c>
      <c r="K76" s="6">
        <v>0.18454796700000001</v>
      </c>
      <c r="L76" s="6">
        <v>4.6072000000000002E-2</v>
      </c>
      <c r="M76" s="6">
        <v>0</v>
      </c>
      <c r="N76" s="6">
        <v>6.2836669999999997E-3</v>
      </c>
      <c r="O76" s="6">
        <f t="shared" si="1"/>
        <v>0.36492642058333336</v>
      </c>
    </row>
    <row r="77" spans="1:16" x14ac:dyDescent="0.2">
      <c r="A77" s="6" t="s">
        <v>17</v>
      </c>
      <c r="B77" s="6" t="s">
        <v>43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1.2264600000000001E-2</v>
      </c>
      <c r="J77" s="6">
        <v>0.16405356700000001</v>
      </c>
      <c r="K77" s="6">
        <v>5.09808E-2</v>
      </c>
      <c r="L77" s="6">
        <v>0</v>
      </c>
      <c r="M77" s="6">
        <v>1.7925867000000002E-2</v>
      </c>
      <c r="N77" s="6">
        <v>0</v>
      </c>
      <c r="O77" s="6">
        <f t="shared" si="1"/>
        <v>2.0435402833333335E-2</v>
      </c>
    </row>
    <row r="78" spans="1:16" x14ac:dyDescent="0.2">
      <c r="A78" s="6" t="s">
        <v>66</v>
      </c>
      <c r="B78" s="6" t="s">
        <v>49</v>
      </c>
      <c r="C78" s="6">
        <v>3.6848975670000002</v>
      </c>
      <c r="D78" s="6">
        <v>5.7440398330000004</v>
      </c>
      <c r="E78" s="6">
        <v>0.69770304999999999</v>
      </c>
      <c r="F78" s="6">
        <v>4.8174924670000001</v>
      </c>
      <c r="G78" s="6">
        <v>3.3455600000000002E-2</v>
      </c>
      <c r="H78" s="6">
        <v>0.392457167</v>
      </c>
      <c r="I78" s="6">
        <v>3.1459022700000001</v>
      </c>
      <c r="J78" s="6">
        <v>1.1889563999999999</v>
      </c>
      <c r="K78" s="6">
        <v>2.7666407670000002</v>
      </c>
      <c r="L78" s="6">
        <v>3.8960933999999998</v>
      </c>
      <c r="M78" s="6">
        <v>9.3477270669999992</v>
      </c>
      <c r="N78" s="6">
        <v>5.9674557669999997</v>
      </c>
      <c r="O78" s="6">
        <f t="shared" si="1"/>
        <v>3.4735684462499994</v>
      </c>
    </row>
    <row r="79" spans="1:16" x14ac:dyDescent="0.2">
      <c r="A79" s="6" t="s">
        <v>66</v>
      </c>
      <c r="B79" s="6" t="s">
        <v>52</v>
      </c>
      <c r="C79" s="6">
        <v>0.64656239999999998</v>
      </c>
      <c r="D79" s="6">
        <v>1.6481813999999999</v>
      </c>
      <c r="E79" s="6">
        <v>1.8440392999999999</v>
      </c>
      <c r="F79" s="6">
        <v>7.7530083999999997</v>
      </c>
      <c r="G79" s="6">
        <v>0.36713435</v>
      </c>
      <c r="H79" s="6">
        <v>7.2467667330000003</v>
      </c>
      <c r="I79" s="6">
        <v>4.7202535699999997</v>
      </c>
      <c r="J79" s="6">
        <v>8.2287151000000005</v>
      </c>
      <c r="K79" s="6">
        <v>1.5523431999999999</v>
      </c>
      <c r="L79" s="6">
        <v>0.15800385</v>
      </c>
      <c r="M79" s="6">
        <v>3.385000867</v>
      </c>
      <c r="N79" s="6">
        <v>2.7451487330000002</v>
      </c>
      <c r="O79" s="6">
        <f t="shared" si="1"/>
        <v>3.3579298252500007</v>
      </c>
    </row>
    <row r="80" spans="1:16" x14ac:dyDescent="0.2">
      <c r="A80" s="6" t="s">
        <v>66</v>
      </c>
      <c r="B80" s="6" t="s">
        <v>54</v>
      </c>
      <c r="C80" s="6">
        <v>1.1960337000000001</v>
      </c>
      <c r="D80" s="6">
        <v>1.058855933</v>
      </c>
      <c r="E80" s="6">
        <v>0.30743280000000001</v>
      </c>
      <c r="F80" s="6">
        <v>0.557829833</v>
      </c>
      <c r="G80" s="6">
        <v>5.3572099999999997E-2</v>
      </c>
      <c r="H80" s="6">
        <v>2.2566039670000002</v>
      </c>
      <c r="I80" s="6">
        <v>1.9024878000000001</v>
      </c>
      <c r="J80" s="6">
        <v>0.899864267</v>
      </c>
      <c r="K80" s="6">
        <v>1.4142672329999999</v>
      </c>
      <c r="L80" s="6">
        <v>0.39360614999999999</v>
      </c>
      <c r="M80" s="6">
        <v>2.5056903670000001</v>
      </c>
      <c r="N80" s="6">
        <v>2.1869721329999998</v>
      </c>
      <c r="O80" s="6">
        <f t="shared" si="1"/>
        <v>1.2277680235833335</v>
      </c>
    </row>
    <row r="81" spans="1:15" x14ac:dyDescent="0.2">
      <c r="A81" s="6" t="s">
        <v>66</v>
      </c>
      <c r="B81" s="6" t="s">
        <v>51</v>
      </c>
      <c r="C81" s="6">
        <v>2.5470052000000001</v>
      </c>
      <c r="D81" s="6">
        <v>4.2131478329999998</v>
      </c>
      <c r="E81" s="6">
        <v>0.283026</v>
      </c>
      <c r="F81" s="6">
        <v>6.1822809000000003</v>
      </c>
      <c r="G81" s="6">
        <v>7.4415499999999999E-3</v>
      </c>
      <c r="H81" s="6">
        <v>1.2530298</v>
      </c>
      <c r="I81" s="6">
        <v>1.9532569</v>
      </c>
      <c r="J81" s="6">
        <v>1.019539567</v>
      </c>
      <c r="K81" s="6">
        <v>1.3780314</v>
      </c>
      <c r="L81" s="6">
        <v>1.443345E-2</v>
      </c>
      <c r="M81" s="6">
        <v>3.9217468000000002</v>
      </c>
      <c r="N81" s="6">
        <v>3.1246449670000001</v>
      </c>
      <c r="O81" s="6">
        <f t="shared" si="1"/>
        <v>2.1581320305833334</v>
      </c>
    </row>
    <row r="82" spans="1:15" x14ac:dyDescent="0.2">
      <c r="A82" s="6" t="s">
        <v>66</v>
      </c>
      <c r="B82" s="6" t="s">
        <v>227</v>
      </c>
      <c r="C82" s="6">
        <v>1.2980636329999999</v>
      </c>
      <c r="D82" s="6">
        <v>1.0236816</v>
      </c>
      <c r="E82" s="6">
        <v>0.11794014999999999</v>
      </c>
      <c r="F82" s="6">
        <v>0.210561733</v>
      </c>
      <c r="G82" s="6">
        <v>0.17296865</v>
      </c>
      <c r="H82" s="6">
        <v>0.43368780000000001</v>
      </c>
      <c r="I82" s="6">
        <v>0.6419899</v>
      </c>
      <c r="J82" s="6">
        <v>0.37818193300000003</v>
      </c>
      <c r="K82" s="6">
        <v>0.83699426700000001</v>
      </c>
      <c r="L82" s="6">
        <v>0.41690430000000001</v>
      </c>
      <c r="M82" s="6">
        <v>1.8936805329999999</v>
      </c>
      <c r="N82" s="6">
        <v>1.8655885329999999</v>
      </c>
      <c r="O82" s="6">
        <f t="shared" si="1"/>
        <v>0.77418691933333328</v>
      </c>
    </row>
    <row r="83" spans="1:15" x14ac:dyDescent="0.2">
      <c r="A83" s="8" t="s">
        <v>221</v>
      </c>
      <c r="B83" s="6" t="s">
        <v>227</v>
      </c>
      <c r="C83" s="6">
        <v>16.318664999999999</v>
      </c>
      <c r="D83" s="6">
        <v>15.738769</v>
      </c>
      <c r="E83" s="6">
        <v>4.2566550000000003</v>
      </c>
      <c r="F83" s="6">
        <v>16.206419</v>
      </c>
      <c r="G83" s="6">
        <v>1.3550324199999999</v>
      </c>
      <c r="H83" s="6">
        <v>8.6722877999999994</v>
      </c>
      <c r="I83" s="6">
        <v>11.253112</v>
      </c>
      <c r="J83" s="6">
        <v>5.3602629999999998</v>
      </c>
      <c r="K83" s="6">
        <v>10.644562000000001</v>
      </c>
      <c r="L83" s="6">
        <v>1.16726785</v>
      </c>
      <c r="M83" s="6">
        <v>12.222954</v>
      </c>
      <c r="N83" s="6">
        <v>15.228944</v>
      </c>
      <c r="O83" s="6">
        <f t="shared" si="1"/>
        <v>9.8687442558333345</v>
      </c>
    </row>
    <row r="84" spans="1:15" x14ac:dyDescent="0.2">
      <c r="A84" s="8" t="s">
        <v>221</v>
      </c>
      <c r="B84" s="6" t="s">
        <v>230</v>
      </c>
      <c r="C84" s="6">
        <v>3.460931</v>
      </c>
      <c r="D84" s="6">
        <v>4.687945</v>
      </c>
      <c r="E84" s="6">
        <v>0.43710680000000002</v>
      </c>
      <c r="F84" s="6">
        <v>7.4262139999999999</v>
      </c>
      <c r="G84" s="6">
        <v>2.1054150000000001E-2</v>
      </c>
      <c r="H84" s="6">
        <v>1.7462776</v>
      </c>
      <c r="I84" s="6">
        <v>2.5231699999999999</v>
      </c>
      <c r="J84" s="6">
        <v>1.273347</v>
      </c>
      <c r="K84" s="6">
        <v>1.522748</v>
      </c>
      <c r="L84" s="6">
        <v>3.6555520000000001E-2</v>
      </c>
      <c r="M84" s="6">
        <v>4.8016509999999997</v>
      </c>
      <c r="N84" s="6">
        <v>3.5194920000000001</v>
      </c>
      <c r="O84" s="6">
        <f t="shared" si="1"/>
        <v>2.6213743391666666</v>
      </c>
    </row>
    <row r="85" spans="1:15" x14ac:dyDescent="0.2">
      <c r="A85" s="8" t="s">
        <v>221</v>
      </c>
      <c r="B85" s="6" t="s">
        <v>210</v>
      </c>
      <c r="C85" s="6">
        <v>3.4522249999999999</v>
      </c>
      <c r="D85" s="6">
        <v>5.8011309999999998</v>
      </c>
      <c r="E85" s="6">
        <v>0.69652340000000001</v>
      </c>
      <c r="F85" s="6">
        <v>4.5587900000000001</v>
      </c>
      <c r="G85" s="6">
        <v>3.2954120000000003E-2</v>
      </c>
      <c r="H85" s="6">
        <v>0.3388968</v>
      </c>
      <c r="I85" s="6">
        <v>3.112873</v>
      </c>
      <c r="J85" s="6">
        <v>1.0420100000000001</v>
      </c>
      <c r="K85" s="6">
        <v>3.0492140000000001</v>
      </c>
      <c r="L85" s="6">
        <v>3.7780017199999998</v>
      </c>
      <c r="M85" s="6">
        <v>9.7445299999999992</v>
      </c>
      <c r="N85" s="6">
        <v>6.5309660000000003</v>
      </c>
      <c r="O85" s="6">
        <f t="shared" si="1"/>
        <v>3.5115095866666661</v>
      </c>
    </row>
    <row r="86" spans="1:15" x14ac:dyDescent="0.2">
      <c r="A86" s="8" t="s">
        <v>221</v>
      </c>
      <c r="B86" s="6" t="s">
        <v>45</v>
      </c>
      <c r="C86" s="6">
        <v>7.6250200000000001</v>
      </c>
      <c r="D86" s="6">
        <v>6.0288139999999997</v>
      </c>
      <c r="E86" s="6">
        <v>1.0417970000000001</v>
      </c>
      <c r="F86" s="6">
        <v>6.4860129999999998</v>
      </c>
      <c r="G86" s="6">
        <v>0.47671514999999998</v>
      </c>
      <c r="H86" s="6">
        <v>2.5857231999999999</v>
      </c>
      <c r="I86" s="6">
        <v>4.9134520000000004</v>
      </c>
      <c r="J86" s="6">
        <v>6.9025030000000003</v>
      </c>
      <c r="K86" s="6">
        <v>7.7735859999999999</v>
      </c>
      <c r="L86" s="6">
        <v>31.714328479999999</v>
      </c>
      <c r="M86" s="6">
        <v>21.057334000000001</v>
      </c>
      <c r="N86" s="6">
        <v>13.705251000000001</v>
      </c>
      <c r="O86" s="6">
        <f t="shared" si="1"/>
        <v>9.1925447358333336</v>
      </c>
    </row>
    <row r="87" spans="1:15" x14ac:dyDescent="0.2">
      <c r="A87" s="8" t="s">
        <v>221</v>
      </c>
      <c r="B87" s="6" t="s">
        <v>46</v>
      </c>
      <c r="C87" s="6">
        <v>6.735671</v>
      </c>
      <c r="D87" s="6">
        <v>5.8736639999999998</v>
      </c>
      <c r="E87" s="6">
        <v>3.8371826000000002</v>
      </c>
      <c r="F87" s="6">
        <v>6.8557730000000001</v>
      </c>
      <c r="G87" s="6">
        <v>7.06553933</v>
      </c>
      <c r="H87" s="6">
        <v>20.829902400000002</v>
      </c>
      <c r="I87" s="6">
        <v>19.029388999999998</v>
      </c>
      <c r="J87" s="6">
        <v>14.620238000000001</v>
      </c>
      <c r="K87" s="6">
        <v>22.363271000000001</v>
      </c>
      <c r="L87" s="6">
        <v>17.513062009999999</v>
      </c>
      <c r="M87" s="6">
        <v>9.9068179999999995</v>
      </c>
      <c r="N87" s="6">
        <v>12.297972</v>
      </c>
      <c r="O87" s="6">
        <f t="shared" si="1"/>
        <v>12.244040194999998</v>
      </c>
    </row>
    <row r="88" spans="1:15" x14ac:dyDescent="0.2">
      <c r="A88" s="8" t="s">
        <v>221</v>
      </c>
      <c r="B88" s="6" t="s">
        <v>54</v>
      </c>
      <c r="C88" s="6">
        <v>7.773504</v>
      </c>
      <c r="D88" s="6">
        <v>9.5055130000000005</v>
      </c>
      <c r="E88" s="6">
        <v>9.5142779999999991</v>
      </c>
      <c r="F88" s="6">
        <v>22.584536</v>
      </c>
      <c r="G88" s="6">
        <v>5.5060988999999996</v>
      </c>
      <c r="H88" s="6">
        <v>28.6315043</v>
      </c>
      <c r="I88" s="6">
        <v>17.358941000000002</v>
      </c>
      <c r="J88" s="6">
        <v>24.735751</v>
      </c>
      <c r="K88" s="6">
        <v>11.873305999999999</v>
      </c>
      <c r="L88" s="6">
        <v>1.92100673</v>
      </c>
      <c r="M88" s="6">
        <v>14.197685999999999</v>
      </c>
      <c r="N88" s="6">
        <v>12.970647</v>
      </c>
      <c r="O88" s="6">
        <f t="shared" si="1"/>
        <v>13.881064327499999</v>
      </c>
    </row>
    <row r="89" spans="1:15" x14ac:dyDescent="0.2">
      <c r="A89" s="8" t="s">
        <v>222</v>
      </c>
      <c r="B89" s="6" t="s">
        <v>227</v>
      </c>
      <c r="C89" s="6">
        <v>13.1201071</v>
      </c>
      <c r="D89" s="6">
        <v>17.662238899999998</v>
      </c>
      <c r="E89" s="6">
        <v>3.5584983000000001</v>
      </c>
      <c r="F89" s="6">
        <v>17.486928899999999</v>
      </c>
      <c r="G89" s="6">
        <v>0.94787617999999996</v>
      </c>
      <c r="H89" s="6">
        <v>8.4034353199999998</v>
      </c>
      <c r="I89" s="6">
        <v>11.459956999999999</v>
      </c>
      <c r="J89" s="6">
        <v>6.2619670000000003</v>
      </c>
      <c r="K89" s="6">
        <v>10.8573673</v>
      </c>
      <c r="L89" s="6">
        <v>5.8544736000000004</v>
      </c>
      <c r="M89" s="6">
        <v>21.814450489999999</v>
      </c>
      <c r="N89" s="6">
        <v>18.211782299999999</v>
      </c>
      <c r="O89" s="6">
        <f t="shared" si="1"/>
        <v>11.303256865833333</v>
      </c>
    </row>
    <row r="90" spans="1:15" x14ac:dyDescent="0.2">
      <c r="A90" s="8" t="s">
        <v>222</v>
      </c>
      <c r="B90" s="6" t="s">
        <v>58</v>
      </c>
      <c r="C90" s="6">
        <v>1.4728572</v>
      </c>
      <c r="D90" s="6">
        <v>1.8926539</v>
      </c>
      <c r="E90" s="6">
        <v>0.1544413</v>
      </c>
      <c r="F90" s="6">
        <v>1.7656434000000001</v>
      </c>
      <c r="G90" s="6">
        <v>2.3908269999999999E-2</v>
      </c>
      <c r="H90" s="6">
        <v>1.1867636800000001</v>
      </c>
      <c r="I90" s="6">
        <v>1.466645</v>
      </c>
      <c r="J90" s="6">
        <v>0.6829674</v>
      </c>
      <c r="K90" s="6">
        <v>2.2665453000000002</v>
      </c>
      <c r="L90" s="6">
        <v>0.1022285</v>
      </c>
      <c r="M90" s="6">
        <v>0.72751359999999998</v>
      </c>
      <c r="N90" s="6">
        <v>1.1414439999999999</v>
      </c>
      <c r="O90" s="6">
        <f t="shared" si="1"/>
        <v>1.0736342958333334</v>
      </c>
    </row>
    <row r="91" spans="1:15" x14ac:dyDescent="0.2">
      <c r="A91" s="8" t="s">
        <v>222</v>
      </c>
      <c r="B91" s="6" t="s">
        <v>61</v>
      </c>
      <c r="C91" s="6">
        <v>6.8516443999999996</v>
      </c>
      <c r="D91" s="6">
        <v>5.6035992999999999</v>
      </c>
      <c r="E91" s="6">
        <v>2.4242862999999999</v>
      </c>
      <c r="F91" s="6">
        <v>0.8500683</v>
      </c>
      <c r="G91" s="6">
        <v>7.6321490000000006E-2</v>
      </c>
      <c r="H91" s="6">
        <v>9.6985489999999994E-2</v>
      </c>
      <c r="I91" s="6">
        <v>2.7679659999999999</v>
      </c>
      <c r="J91" s="6">
        <v>0.24544079999999999</v>
      </c>
      <c r="K91" s="6">
        <v>0.13203609999999999</v>
      </c>
      <c r="L91" s="6">
        <v>0.59154070000000003</v>
      </c>
      <c r="M91" s="6">
        <v>4.8165890000000003E-2</v>
      </c>
      <c r="N91" s="6">
        <v>0.59077820000000003</v>
      </c>
      <c r="O91" s="6">
        <f t="shared" si="1"/>
        <v>1.6899027474999999</v>
      </c>
    </row>
    <row r="92" spans="1:15" x14ac:dyDescent="0.2">
      <c r="A92" s="8" t="s">
        <v>222</v>
      </c>
      <c r="B92" s="6" t="s">
        <v>47</v>
      </c>
      <c r="C92" s="6">
        <v>0.48997079999999998</v>
      </c>
      <c r="D92" s="6">
        <v>0.99263710000000005</v>
      </c>
      <c r="E92" s="6">
        <v>10.779651899999999</v>
      </c>
      <c r="F92" s="6">
        <v>3.4176940999999998</v>
      </c>
      <c r="G92" s="6">
        <v>18.694133789999999</v>
      </c>
      <c r="H92" s="6">
        <v>2.1527187900000002</v>
      </c>
      <c r="I92" s="6">
        <v>1.3855550000000001</v>
      </c>
      <c r="J92" s="6">
        <v>5.8844212999999996</v>
      </c>
      <c r="K92" s="6">
        <v>2.4355962</v>
      </c>
      <c r="L92" s="6">
        <v>0.6563985</v>
      </c>
      <c r="M92" s="6">
        <v>1.19831295</v>
      </c>
      <c r="N92" s="6">
        <v>1.1584653</v>
      </c>
      <c r="O92" s="6">
        <f t="shared" si="1"/>
        <v>4.1037963108333342</v>
      </c>
    </row>
    <row r="93" spans="1:15" x14ac:dyDescent="0.2">
      <c r="A93" s="8" t="s">
        <v>222</v>
      </c>
      <c r="B93" s="6" t="s">
        <v>46</v>
      </c>
      <c r="C93" s="6">
        <v>5.5077568000000001</v>
      </c>
      <c r="D93" s="6">
        <v>4.1760162999999997</v>
      </c>
      <c r="E93" s="6">
        <v>3.2866119999999999</v>
      </c>
      <c r="F93" s="6">
        <v>5.9219502000000004</v>
      </c>
      <c r="G93" s="6">
        <v>7.6469216400000004</v>
      </c>
      <c r="H93" s="6">
        <v>26.62099899</v>
      </c>
      <c r="I93" s="6">
        <v>19.539275</v>
      </c>
      <c r="J93" s="6">
        <v>17.2183037</v>
      </c>
      <c r="K93" s="6">
        <v>25.7385682</v>
      </c>
      <c r="L93" s="6">
        <v>16.2649103</v>
      </c>
      <c r="M93" s="6">
        <v>8.1107415500000002</v>
      </c>
      <c r="N93" s="6">
        <v>10.284496499999999</v>
      </c>
      <c r="O93" s="6">
        <f t="shared" si="1"/>
        <v>12.526379265000001</v>
      </c>
    </row>
    <row r="94" spans="1:15" x14ac:dyDescent="0.2">
      <c r="A94" s="8" t="s">
        <v>222</v>
      </c>
      <c r="B94" s="6" t="s">
        <v>54</v>
      </c>
      <c r="C94" s="6">
        <v>9.7329927000000005</v>
      </c>
      <c r="D94" s="6">
        <v>9.1671423000000001</v>
      </c>
      <c r="E94" s="6">
        <v>10.668139699999999</v>
      </c>
      <c r="F94" s="6">
        <v>16.075939000000002</v>
      </c>
      <c r="G94" s="6">
        <v>7.5786807999999999</v>
      </c>
      <c r="H94" s="6">
        <v>25.731462000000001</v>
      </c>
      <c r="I94" s="6">
        <v>15.652269</v>
      </c>
      <c r="J94" s="6">
        <v>19.3984937</v>
      </c>
      <c r="K94" s="6">
        <v>14.0459079</v>
      </c>
      <c r="L94" s="6">
        <v>2.2742998999999999</v>
      </c>
      <c r="M94" s="6">
        <v>12.944591000000001</v>
      </c>
      <c r="N94" s="6">
        <v>12.054990999999999</v>
      </c>
      <c r="O94" s="6">
        <f t="shared" si="1"/>
        <v>12.943742416666666</v>
      </c>
    </row>
    <row r="95" spans="1:15" x14ac:dyDescent="0.2">
      <c r="A95" s="8" t="s">
        <v>223</v>
      </c>
      <c r="B95" s="6" t="s">
        <v>227</v>
      </c>
      <c r="C95" s="6">
        <v>0.16610459999999999</v>
      </c>
      <c r="D95" s="6">
        <v>3.8929569999999997E-2</v>
      </c>
      <c r="E95" s="6">
        <v>7.9150680000000001E-2</v>
      </c>
      <c r="F95" s="6">
        <v>2.940516E-2</v>
      </c>
      <c r="G95" s="6">
        <v>0.47522030799999998</v>
      </c>
      <c r="H95" s="6">
        <v>0.72480820000000001</v>
      </c>
      <c r="I95" s="6">
        <v>0.37349919999999998</v>
      </c>
      <c r="J95" s="6">
        <v>0.36853049999999998</v>
      </c>
      <c r="K95" s="6">
        <v>1.1467898000000001</v>
      </c>
      <c r="L95" s="6">
        <v>0</v>
      </c>
      <c r="M95" s="6">
        <v>0.11975495999999999</v>
      </c>
      <c r="N95" s="6">
        <v>0.12868769999999999</v>
      </c>
      <c r="O95" s="6">
        <f t="shared" si="1"/>
        <v>0.30424005649999997</v>
      </c>
    </row>
    <row r="96" spans="1:15" x14ac:dyDescent="0.2">
      <c r="A96" s="8" t="s">
        <v>223</v>
      </c>
      <c r="B96" s="6" t="s">
        <v>54</v>
      </c>
      <c r="C96" s="6">
        <v>0.1604409</v>
      </c>
      <c r="D96" s="6">
        <v>2.88145E-2</v>
      </c>
      <c r="E96" s="6">
        <v>7.9150680000000001E-2</v>
      </c>
      <c r="F96" s="6">
        <v>2.940516E-2</v>
      </c>
      <c r="G96" s="6">
        <v>0.47522030799999998</v>
      </c>
      <c r="H96" s="6">
        <v>0.72480820000000001</v>
      </c>
      <c r="I96" s="6">
        <v>0.36391489999999999</v>
      </c>
      <c r="J96" s="6">
        <v>0.36853049999999998</v>
      </c>
      <c r="K96" s="6">
        <v>1.1467898000000001</v>
      </c>
      <c r="L96" s="6">
        <v>0</v>
      </c>
      <c r="M96" s="6">
        <v>6.5103839999999996E-2</v>
      </c>
      <c r="N96" s="6">
        <v>0</v>
      </c>
      <c r="O96" s="6">
        <f t="shared" si="1"/>
        <v>0.28684823233333334</v>
      </c>
    </row>
    <row r="97" spans="1:15" x14ac:dyDescent="0.2">
      <c r="A97" s="8" t="s">
        <v>223</v>
      </c>
      <c r="B97" s="6" t="s">
        <v>230</v>
      </c>
      <c r="C97" s="6">
        <v>2.0277744000000002</v>
      </c>
      <c r="D97" s="6">
        <v>3.2241712800000002</v>
      </c>
      <c r="E97" s="6">
        <v>0.31592358999999998</v>
      </c>
      <c r="F97" s="6">
        <v>6.1524706599999996</v>
      </c>
      <c r="G97" s="6">
        <v>2.356698E-3</v>
      </c>
      <c r="H97" s="6">
        <v>1.6373663000000001</v>
      </c>
      <c r="I97" s="6">
        <v>1.7971275</v>
      </c>
      <c r="J97" s="6">
        <v>0.96043880000000004</v>
      </c>
      <c r="K97" s="6">
        <v>0.93470969999999998</v>
      </c>
      <c r="L97" s="6">
        <v>2.4942240000000001E-2</v>
      </c>
      <c r="M97" s="6">
        <v>3.0466549500000002</v>
      </c>
      <c r="N97" s="6">
        <v>2.3280322999999998</v>
      </c>
      <c r="O97" s="6">
        <f t="shared" si="1"/>
        <v>1.8709973681666667</v>
      </c>
    </row>
    <row r="98" spans="1:15" x14ac:dyDescent="0.2">
      <c r="A98" s="8" t="s">
        <v>223</v>
      </c>
      <c r="B98" s="6" t="s">
        <v>56</v>
      </c>
      <c r="C98" s="6">
        <v>0.99041299999999999</v>
      </c>
      <c r="D98" s="6">
        <v>2.3932735699999999</v>
      </c>
      <c r="E98" s="6">
        <v>1.1751256999999999</v>
      </c>
      <c r="F98" s="6">
        <v>9.0150307299999994</v>
      </c>
      <c r="G98" s="6">
        <v>0.42337761200000001</v>
      </c>
      <c r="H98" s="6">
        <v>8.3082136999999996</v>
      </c>
      <c r="I98" s="6">
        <v>3.2913640000000002</v>
      </c>
      <c r="J98" s="6">
        <v>8.1793665000000004</v>
      </c>
      <c r="K98" s="6">
        <v>1.3906392000000001</v>
      </c>
      <c r="L98" s="6">
        <v>2.0241769999999999E-2</v>
      </c>
      <c r="M98" s="6">
        <v>2.31129681</v>
      </c>
      <c r="N98" s="6">
        <v>2.3295322000000001</v>
      </c>
      <c r="O98" s="6">
        <f t="shared" si="1"/>
        <v>3.3189895660000008</v>
      </c>
    </row>
    <row r="99" spans="1:15" x14ac:dyDescent="0.2">
      <c r="A99" s="8" t="s">
        <v>220</v>
      </c>
      <c r="B99" s="6" t="s">
        <v>227</v>
      </c>
      <c r="C99" s="6">
        <v>79.666993000000005</v>
      </c>
      <c r="D99" s="6">
        <v>76.769514000000001</v>
      </c>
      <c r="E99" s="6">
        <v>50.224632700000001</v>
      </c>
      <c r="F99" s="6">
        <v>40.688647000000003</v>
      </c>
      <c r="G99" s="6">
        <v>19.544198529999999</v>
      </c>
      <c r="H99" s="6">
        <v>46.268934000000002</v>
      </c>
      <c r="I99" s="6">
        <v>62.520297999999997</v>
      </c>
      <c r="J99" s="6">
        <v>50.305362000000002</v>
      </c>
      <c r="K99" s="6">
        <v>51.125518999999997</v>
      </c>
      <c r="L99" s="6">
        <v>39.686180899999997</v>
      </c>
      <c r="M99" s="6">
        <v>46.022781000000002</v>
      </c>
      <c r="N99" s="6">
        <v>56.250129999999999</v>
      </c>
      <c r="O99" s="6">
        <f t="shared" si="1"/>
        <v>51.589432510833326</v>
      </c>
    </row>
    <row r="100" spans="1:15" x14ac:dyDescent="0.2">
      <c r="A100" s="8" t="s">
        <v>220</v>
      </c>
      <c r="B100" s="6" t="s">
        <v>45</v>
      </c>
      <c r="C100" s="6">
        <v>13.858058</v>
      </c>
      <c r="D100" s="6">
        <v>8.4508489999999998</v>
      </c>
      <c r="E100" s="6">
        <v>0.98442510000000005</v>
      </c>
      <c r="F100" s="6">
        <v>6.7955740000000002</v>
      </c>
      <c r="G100" s="6">
        <v>0.48046717</v>
      </c>
      <c r="H100" s="6">
        <v>2.8867250000000002</v>
      </c>
      <c r="I100" s="6">
        <v>5.5188839999999999</v>
      </c>
      <c r="J100" s="6">
        <v>7.5946059999999997</v>
      </c>
      <c r="K100" s="6">
        <v>7.824084</v>
      </c>
      <c r="L100" s="6">
        <v>29.987340499999998</v>
      </c>
      <c r="M100" s="6">
        <v>19.505668</v>
      </c>
      <c r="N100" s="6">
        <v>13.306749999999999</v>
      </c>
      <c r="O100" s="6">
        <f t="shared" si="1"/>
        <v>9.7661192308333327</v>
      </c>
    </row>
    <row r="101" spans="1:15" x14ac:dyDescent="0.2">
      <c r="A101" s="8" t="s">
        <v>220</v>
      </c>
      <c r="B101" s="6" t="s">
        <v>230</v>
      </c>
      <c r="C101" s="6">
        <v>13.132649000000001</v>
      </c>
      <c r="D101" s="6">
        <v>21.247741000000001</v>
      </c>
      <c r="E101" s="6">
        <v>1.7444364999999999</v>
      </c>
      <c r="F101" s="6">
        <v>28.994762999999999</v>
      </c>
      <c r="G101" s="6">
        <v>4.0306019999999998E-2</v>
      </c>
      <c r="H101" s="6">
        <v>6.4678000000000004</v>
      </c>
      <c r="I101" s="6">
        <v>9.4294659999999997</v>
      </c>
      <c r="J101" s="6">
        <v>4.9636839999999998</v>
      </c>
      <c r="K101" s="6">
        <v>6.4529490000000003</v>
      </c>
      <c r="L101" s="6">
        <v>0.1144453</v>
      </c>
      <c r="M101" s="6">
        <v>19.788371000000001</v>
      </c>
      <c r="N101" s="6">
        <v>15.83872</v>
      </c>
      <c r="O101" s="6">
        <f t="shared" si="1"/>
        <v>10.684610901666668</v>
      </c>
    </row>
    <row r="102" spans="1:15" x14ac:dyDescent="0.2">
      <c r="A102" s="8" t="s">
        <v>220</v>
      </c>
      <c r="B102" s="6" t="s">
        <v>46</v>
      </c>
      <c r="C102" s="6">
        <v>8.3445309999999999</v>
      </c>
      <c r="D102" s="6">
        <v>6.4682139999999997</v>
      </c>
      <c r="E102" s="6">
        <v>2.7682617999999999</v>
      </c>
      <c r="F102" s="6">
        <v>5.7797729999999996</v>
      </c>
      <c r="G102" s="6">
        <v>5.51395093</v>
      </c>
      <c r="H102" s="6">
        <v>25.980703999999999</v>
      </c>
      <c r="I102" s="6">
        <v>21.538913999999998</v>
      </c>
      <c r="J102" s="6">
        <v>15.044765</v>
      </c>
      <c r="K102" s="6">
        <v>21.359952</v>
      </c>
      <c r="L102" s="6">
        <v>14.9111739</v>
      </c>
      <c r="M102" s="6">
        <v>6.8761070000000002</v>
      </c>
      <c r="N102" s="6">
        <v>10.421709999999999</v>
      </c>
      <c r="O102" s="6">
        <f t="shared" si="1"/>
        <v>12.084004719166664</v>
      </c>
    </row>
    <row r="103" spans="1:15" x14ac:dyDescent="0.2">
      <c r="A103" s="8" t="s">
        <v>220</v>
      </c>
      <c r="B103" s="6" t="s">
        <v>54</v>
      </c>
      <c r="C103" s="6">
        <v>15.294285</v>
      </c>
      <c r="D103" s="6">
        <v>17.098410999999999</v>
      </c>
      <c r="E103" s="6">
        <v>19.904300299999999</v>
      </c>
      <c r="F103" s="6">
        <v>42.591467999999999</v>
      </c>
      <c r="G103" s="6">
        <v>11.40149946</v>
      </c>
      <c r="H103" s="6">
        <v>53.803870000000003</v>
      </c>
      <c r="I103" s="6">
        <v>32.673096999999999</v>
      </c>
      <c r="J103" s="6">
        <v>47.674059</v>
      </c>
      <c r="K103" s="6">
        <v>26.283785999999999</v>
      </c>
      <c r="L103" s="6">
        <v>4.4492016000000003</v>
      </c>
      <c r="M103" s="6">
        <v>29.194538000000001</v>
      </c>
      <c r="N103" s="6">
        <v>25.14198</v>
      </c>
      <c r="O103" s="6">
        <f t="shared" si="1"/>
        <v>27.125874613333334</v>
      </c>
    </row>
    <row r="104" spans="1:15" x14ac:dyDescent="0.2">
      <c r="A104" s="8" t="s">
        <v>220</v>
      </c>
      <c r="B104" s="6" t="s">
        <v>47</v>
      </c>
      <c r="C104" s="6">
        <v>35.346955000000001</v>
      </c>
      <c r="D104" s="6">
        <v>41.397070999999997</v>
      </c>
      <c r="E104" s="6">
        <v>126.71824049999999</v>
      </c>
      <c r="F104" s="6">
        <v>64.82011</v>
      </c>
      <c r="G104" s="6">
        <v>147.27367318</v>
      </c>
      <c r="H104" s="6">
        <v>46.148952999999999</v>
      </c>
      <c r="I104" s="6">
        <v>40.308318999999997</v>
      </c>
      <c r="J104" s="6">
        <v>67.962900000000005</v>
      </c>
      <c r="K104" s="6">
        <v>48.793464</v>
      </c>
      <c r="L104" s="6">
        <v>18.4511796</v>
      </c>
      <c r="M104" s="6">
        <v>27.941825000000001</v>
      </c>
      <c r="N104" s="6">
        <v>38.098439999999997</v>
      </c>
      <c r="O104" s="6">
        <f t="shared" si="1"/>
        <v>58.605094189999996</v>
      </c>
    </row>
    <row r="105" spans="1:15" x14ac:dyDescent="0.2">
      <c r="A105" s="8" t="s">
        <v>233</v>
      </c>
      <c r="B105" s="6" t="s">
        <v>227</v>
      </c>
      <c r="C105" s="6">
        <v>17.022217999999999</v>
      </c>
      <c r="D105" s="6">
        <v>17.112745</v>
      </c>
      <c r="E105" s="6">
        <v>5.9659522999999997</v>
      </c>
      <c r="F105" s="6">
        <v>28.617178299999999</v>
      </c>
      <c r="G105" s="6">
        <v>4.9839692700000002</v>
      </c>
      <c r="H105" s="6">
        <v>26.821575299999999</v>
      </c>
      <c r="I105" s="6">
        <v>21.900952799999999</v>
      </c>
      <c r="J105" s="6">
        <v>25.833568799999998</v>
      </c>
      <c r="K105" s="6">
        <v>23.550281600000002</v>
      </c>
      <c r="L105" s="6">
        <v>17.2847647</v>
      </c>
      <c r="M105" s="6">
        <v>23.074300999999998</v>
      </c>
      <c r="N105" s="6">
        <v>21.099945000000002</v>
      </c>
      <c r="O105" s="6">
        <f t="shared" si="1"/>
        <v>19.438954339166667</v>
      </c>
    </row>
    <row r="106" spans="1:15" x14ac:dyDescent="0.2">
      <c r="A106" s="8" t="s">
        <v>233</v>
      </c>
      <c r="B106" s="6" t="s">
        <v>45</v>
      </c>
      <c r="C106" s="6">
        <v>2.3970729999999998</v>
      </c>
      <c r="D106" s="6">
        <v>1.3899809999999999</v>
      </c>
      <c r="E106" s="6">
        <v>0.27787060000000002</v>
      </c>
      <c r="F106" s="6">
        <v>0.41147909999999999</v>
      </c>
      <c r="G106" s="6">
        <v>1.090529E-2</v>
      </c>
      <c r="H106" s="6">
        <v>0.1165824</v>
      </c>
      <c r="I106" s="6">
        <v>0.39902530000000003</v>
      </c>
      <c r="J106" s="6">
        <v>0.15125830000000001</v>
      </c>
      <c r="K106" s="6">
        <v>0.22675909999999999</v>
      </c>
      <c r="L106" s="6">
        <v>0.66669809999999996</v>
      </c>
      <c r="M106" s="6">
        <v>0.62189280000000002</v>
      </c>
      <c r="N106" s="6">
        <v>1.7122010000000001</v>
      </c>
      <c r="O106" s="6">
        <f t="shared" si="1"/>
        <v>0.6984771658333333</v>
      </c>
    </row>
    <row r="107" spans="1:15" x14ac:dyDescent="0.2">
      <c r="A107" s="8" t="s">
        <v>233</v>
      </c>
      <c r="B107" s="6" t="s">
        <v>46</v>
      </c>
      <c r="C107" s="6">
        <v>3.492791</v>
      </c>
      <c r="D107" s="6">
        <v>2.6585350000000001</v>
      </c>
      <c r="E107" s="6">
        <v>1.1382494999999999</v>
      </c>
      <c r="F107" s="6">
        <v>1.7628055</v>
      </c>
      <c r="G107" s="6">
        <v>0.69451373000000005</v>
      </c>
      <c r="H107" s="6">
        <v>3.3636908999999999</v>
      </c>
      <c r="I107" s="6">
        <v>4.8827337000000002</v>
      </c>
      <c r="J107" s="6">
        <v>2.1024075999999998</v>
      </c>
      <c r="K107" s="6">
        <v>3.9069012999999999</v>
      </c>
      <c r="L107" s="6">
        <v>7.8162843999999998</v>
      </c>
      <c r="M107" s="6">
        <v>4.4116273000000001</v>
      </c>
      <c r="N107" s="6">
        <v>5.5439980000000002</v>
      </c>
      <c r="O107" s="6">
        <f t="shared" si="1"/>
        <v>3.4812114941666672</v>
      </c>
    </row>
    <row r="108" spans="1:15" x14ac:dyDescent="0.2">
      <c r="A108" s="8" t="s">
        <v>233</v>
      </c>
      <c r="B108" s="6" t="s">
        <v>47</v>
      </c>
      <c r="C108" s="6">
        <v>3.0419700000000001</v>
      </c>
      <c r="D108" s="6">
        <v>5.7915320000000001</v>
      </c>
      <c r="E108" s="6">
        <v>25.360451699999999</v>
      </c>
      <c r="F108" s="6">
        <v>7.8008832000000004</v>
      </c>
      <c r="G108" s="6">
        <v>44.46418766</v>
      </c>
      <c r="H108" s="6">
        <v>11.279647799999999</v>
      </c>
      <c r="I108" s="6">
        <v>6.8922053999999999</v>
      </c>
      <c r="J108" s="6">
        <v>7.7785637999999997</v>
      </c>
      <c r="K108" s="6">
        <v>8.6069013999999999</v>
      </c>
      <c r="L108" s="6">
        <v>1.4697712999999999</v>
      </c>
      <c r="M108" s="6">
        <v>3.0083188000000001</v>
      </c>
      <c r="N108" s="6">
        <v>4.3833989999999998</v>
      </c>
      <c r="O108" s="6">
        <f t="shared" si="1"/>
        <v>10.823152671666664</v>
      </c>
    </row>
    <row r="109" spans="1:15" x14ac:dyDescent="0.2">
      <c r="A109" s="8" t="s">
        <v>233</v>
      </c>
      <c r="B109" s="6" t="s">
        <v>54</v>
      </c>
      <c r="C109" s="6">
        <v>10.928201</v>
      </c>
      <c r="D109" s="6">
        <v>9.3170610000000007</v>
      </c>
      <c r="E109" s="6">
        <v>13.2322012</v>
      </c>
      <c r="F109" s="6">
        <v>17.008846500000001</v>
      </c>
      <c r="G109" s="6">
        <v>10.23345179</v>
      </c>
      <c r="H109" s="6">
        <v>31.532333000000001</v>
      </c>
      <c r="I109" s="6">
        <v>17.179324000000001</v>
      </c>
      <c r="J109" s="6">
        <v>25.631641599999998</v>
      </c>
      <c r="K109" s="6">
        <v>18.611467699999999</v>
      </c>
      <c r="L109" s="6">
        <v>2.6009582</v>
      </c>
      <c r="M109" s="6">
        <v>11.120146</v>
      </c>
      <c r="N109" s="6">
        <v>10.141652000000001</v>
      </c>
      <c r="O109" s="6">
        <f t="shared" si="1"/>
        <v>14.794773665833334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A9FF-7819-FB40-B540-6F4DFC06D347}">
  <dimension ref="A1:Q67"/>
  <sheetViews>
    <sheetView tabSelected="1" zoomScale="94" workbookViewId="0">
      <selection activeCell="B44" sqref="B44"/>
    </sheetView>
  </sheetViews>
  <sheetFormatPr baseColWidth="10" defaultColWidth="11" defaultRowHeight="16" x14ac:dyDescent="0.2"/>
  <cols>
    <col min="1" max="1" width="32" customWidth="1"/>
    <col min="2" max="2" width="29.33203125" customWidth="1"/>
    <col min="15" max="15" width="20.6640625" customWidth="1"/>
  </cols>
  <sheetData>
    <row r="1" spans="1:16" s="2" customFormat="1" ht="24" x14ac:dyDescent="0.3">
      <c r="A1" s="25" t="s">
        <v>237</v>
      </c>
    </row>
    <row r="3" spans="1:16" x14ac:dyDescent="0.2">
      <c r="A3" s="34" t="s">
        <v>216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</row>
    <row r="4" spans="1:16" x14ac:dyDescent="0.2">
      <c r="A4" s="39" t="s">
        <v>15</v>
      </c>
      <c r="B4" s="6" t="s">
        <v>16</v>
      </c>
      <c r="C4" s="20">
        <v>0.10776810000000001</v>
      </c>
      <c r="D4" s="20">
        <v>5.3344170000000003E-2</v>
      </c>
      <c r="E4" s="6">
        <v>0</v>
      </c>
      <c r="F4" s="20">
        <v>3.5086609999999997E-2</v>
      </c>
      <c r="G4" s="6">
        <v>2.7992030000000001E-3</v>
      </c>
      <c r="H4" s="6">
        <v>1.6977793000000001E-2</v>
      </c>
      <c r="I4" s="6">
        <v>0.161780652</v>
      </c>
      <c r="J4" s="6">
        <v>0.19657494</v>
      </c>
      <c r="K4" s="6">
        <v>0.12017257000000001</v>
      </c>
      <c r="L4" s="6">
        <v>3.2798809999999998E-2</v>
      </c>
      <c r="M4" s="6">
        <v>4.6426404999999997E-2</v>
      </c>
      <c r="N4" s="20">
        <v>0.14092950000000001</v>
      </c>
      <c r="O4" s="6" t="str">
        <f t="shared" ref="O4:O33" si="0">TEXT(MIN(C4:N4),"0.00000")&amp;" - "&amp;TEXT(MAX(C4:N4),"0.00000")</f>
        <v>0.00000 - 0.19657</v>
      </c>
      <c r="P4" s="6">
        <f t="shared" ref="P4:P33" si="1">AVERAGE(C4:N4)</f>
        <v>7.6221562749999999E-2</v>
      </c>
    </row>
    <row r="5" spans="1:16" x14ac:dyDescent="0.2">
      <c r="A5" s="39"/>
      <c r="B5" s="6" t="s">
        <v>17</v>
      </c>
      <c r="C5" s="20">
        <v>0</v>
      </c>
      <c r="D5" s="20">
        <v>0</v>
      </c>
      <c r="E5" s="6">
        <v>0</v>
      </c>
      <c r="F5" s="20">
        <v>0</v>
      </c>
      <c r="G5" s="6">
        <v>0</v>
      </c>
      <c r="H5" s="6">
        <v>0</v>
      </c>
      <c r="I5" s="6">
        <v>4.3757120000000004E-3</v>
      </c>
      <c r="J5" s="6">
        <v>1.9144120000000001E-2</v>
      </c>
      <c r="K5" s="6">
        <v>1.9230029999999999E-2</v>
      </c>
      <c r="L5" s="6">
        <v>0</v>
      </c>
      <c r="M5" s="6">
        <v>0</v>
      </c>
      <c r="N5" s="20">
        <v>5.141769E-3</v>
      </c>
      <c r="O5" s="6" t="str">
        <f t="shared" si="0"/>
        <v>0.00000 - 0.01923</v>
      </c>
      <c r="P5" s="6">
        <f t="shared" si="1"/>
        <v>3.9909692499999995E-3</v>
      </c>
    </row>
    <row r="6" spans="1:16" x14ac:dyDescent="0.2">
      <c r="A6" s="39"/>
      <c r="B6" s="6" t="s">
        <v>213</v>
      </c>
      <c r="C6" s="20">
        <f>SUM(C4:C5)</f>
        <v>0.10776810000000001</v>
      </c>
      <c r="D6" s="20">
        <f t="shared" ref="D6:N6" si="2">SUM(D4:D5)</f>
        <v>5.3344170000000003E-2</v>
      </c>
      <c r="E6" s="20">
        <f t="shared" si="2"/>
        <v>0</v>
      </c>
      <c r="F6" s="20">
        <f t="shared" si="2"/>
        <v>3.5086609999999997E-2</v>
      </c>
      <c r="G6" s="20">
        <f t="shared" si="2"/>
        <v>2.7992030000000001E-3</v>
      </c>
      <c r="H6" s="20">
        <f t="shared" si="2"/>
        <v>1.6977793000000001E-2</v>
      </c>
      <c r="I6" s="20">
        <f t="shared" si="2"/>
        <v>0.166156364</v>
      </c>
      <c r="J6" s="20">
        <f t="shared" si="2"/>
        <v>0.21571906000000002</v>
      </c>
      <c r="K6" s="20">
        <f t="shared" si="2"/>
        <v>0.13940260000000002</v>
      </c>
      <c r="L6" s="20">
        <f t="shared" si="2"/>
        <v>3.2798809999999998E-2</v>
      </c>
      <c r="M6" s="20">
        <f t="shared" si="2"/>
        <v>4.6426404999999997E-2</v>
      </c>
      <c r="N6" s="20">
        <f t="shared" si="2"/>
        <v>0.146071269</v>
      </c>
      <c r="O6" s="6" t="str">
        <f t="shared" ref="O6" si="3">TEXT(MIN(C6:N6),"0.00000")&amp;" - "&amp;TEXT(MAX(C6:N6),"0.00000")</f>
        <v>0.00000 - 0.21572</v>
      </c>
      <c r="P6" s="6">
        <f t="shared" ref="P6" si="4">AVERAGE(C6:N6)</f>
        <v>8.0212532000000003E-2</v>
      </c>
    </row>
    <row r="7" spans="1:16" x14ac:dyDescent="0.2">
      <c r="A7" s="39"/>
      <c r="B7" s="6" t="s">
        <v>182</v>
      </c>
      <c r="C7" s="20">
        <v>0.67065859999999999</v>
      </c>
      <c r="D7" s="20">
        <v>0.91435239999999995</v>
      </c>
      <c r="E7" s="6">
        <v>2.1504132029999998</v>
      </c>
      <c r="F7" s="20">
        <v>1.3862190000000001</v>
      </c>
      <c r="G7" s="6">
        <v>0.93822296400000005</v>
      </c>
      <c r="H7" s="6">
        <v>0.75413536699999995</v>
      </c>
      <c r="I7" s="6">
        <v>0.40100571899999998</v>
      </c>
      <c r="J7" s="6">
        <v>0.87678175999999997</v>
      </c>
      <c r="K7" s="6">
        <v>0.83113429000000005</v>
      </c>
      <c r="L7" s="6">
        <v>0.26996998</v>
      </c>
      <c r="M7" s="6">
        <v>1.2527097780000001</v>
      </c>
      <c r="N7" s="20">
        <v>0.48537960000000002</v>
      </c>
      <c r="O7" s="6" t="str">
        <f t="shared" si="0"/>
        <v>0.26997 - 2.15041</v>
      </c>
      <c r="P7" s="6">
        <f t="shared" si="1"/>
        <v>0.91091522174999995</v>
      </c>
    </row>
    <row r="8" spans="1:16" x14ac:dyDescent="0.2">
      <c r="A8" s="39"/>
      <c r="B8" s="6" t="s">
        <v>183</v>
      </c>
      <c r="C8" s="20">
        <v>0.33215090000000003</v>
      </c>
      <c r="D8" s="20">
        <v>0.54167160000000003</v>
      </c>
      <c r="E8" s="6">
        <v>0.121699299</v>
      </c>
      <c r="F8" s="20">
        <v>7.2779849999999993E-2</v>
      </c>
      <c r="G8" s="6">
        <v>0.15953379500000001</v>
      </c>
      <c r="H8" s="6">
        <v>0.24056576299999999</v>
      </c>
      <c r="I8" s="6">
        <v>0.39708587400000001</v>
      </c>
      <c r="J8" s="6">
        <v>0.13159116000000001</v>
      </c>
      <c r="K8" s="6">
        <v>0.39742277999999998</v>
      </c>
      <c r="L8" s="6">
        <v>0.18393557999999999</v>
      </c>
      <c r="M8" s="6">
        <v>0.15457306600000001</v>
      </c>
      <c r="N8" s="20">
        <v>0.1818823</v>
      </c>
      <c r="O8" s="6" t="str">
        <f t="shared" si="0"/>
        <v>0.07278 - 0.54167</v>
      </c>
      <c r="P8" s="6">
        <f t="shared" si="1"/>
        <v>0.24290766391666666</v>
      </c>
    </row>
    <row r="9" spans="1:16" x14ac:dyDescent="0.2">
      <c r="A9" s="39"/>
      <c r="B9" s="6" t="s">
        <v>184</v>
      </c>
      <c r="C9" s="20">
        <v>3.4267310000000002E-2</v>
      </c>
      <c r="D9" s="20">
        <v>8.2432430000000001E-2</v>
      </c>
      <c r="E9" s="6">
        <v>5.2762808000000001E-2</v>
      </c>
      <c r="F9" s="20">
        <v>5.1735950000000003E-2</v>
      </c>
      <c r="G9" s="6">
        <v>1.4385768E-2</v>
      </c>
      <c r="H9" s="6">
        <v>1.9079934E-2</v>
      </c>
      <c r="I9" s="6">
        <v>2.1119037E-2</v>
      </c>
      <c r="J9" s="6">
        <v>0</v>
      </c>
      <c r="K9" s="6">
        <v>0</v>
      </c>
      <c r="L9" s="6">
        <v>1.7142310000000001E-2</v>
      </c>
      <c r="M9" s="6">
        <v>1.9058794E-2</v>
      </c>
      <c r="N9" s="20">
        <v>7.7718469999999998E-2</v>
      </c>
      <c r="O9" s="6" t="str">
        <f t="shared" si="0"/>
        <v>0.00000 - 0.08243</v>
      </c>
      <c r="P9" s="6">
        <f t="shared" si="1"/>
        <v>3.2475234249999999E-2</v>
      </c>
    </row>
    <row r="10" spans="1:16" x14ac:dyDescent="0.2">
      <c r="A10" s="39"/>
      <c r="B10" s="6" t="s">
        <v>241</v>
      </c>
      <c r="C10" s="20">
        <f>SUM(C7:C9)</f>
        <v>1.0370768100000001</v>
      </c>
      <c r="D10" s="20">
        <f t="shared" ref="D10:N10" si="5">SUM(D7:D9)</f>
        <v>1.5384564300000001</v>
      </c>
      <c r="E10" s="20">
        <f t="shared" si="5"/>
        <v>2.3248753099999999</v>
      </c>
      <c r="F10" s="20">
        <f t="shared" si="5"/>
        <v>1.5107348000000003</v>
      </c>
      <c r="G10" s="20">
        <f t="shared" si="5"/>
        <v>1.112142527</v>
      </c>
      <c r="H10" s="20">
        <f t="shared" si="5"/>
        <v>1.013781064</v>
      </c>
      <c r="I10" s="20">
        <f t="shared" si="5"/>
        <v>0.81921062999999994</v>
      </c>
      <c r="J10" s="20">
        <f t="shared" si="5"/>
        <v>1.00837292</v>
      </c>
      <c r="K10" s="20">
        <f t="shared" si="5"/>
        <v>1.2285570699999999</v>
      </c>
      <c r="L10" s="20">
        <f t="shared" si="5"/>
        <v>0.47104786999999998</v>
      </c>
      <c r="M10" s="20">
        <f t="shared" si="5"/>
        <v>1.426341638</v>
      </c>
      <c r="N10" s="20">
        <f t="shared" si="5"/>
        <v>0.74498036999999995</v>
      </c>
      <c r="O10" s="6" t="str">
        <f t="shared" ref="O10" si="6">TEXT(MIN(C10:N10),"0.00000")&amp;" - "&amp;TEXT(MAX(C10:N10),"0.00000")</f>
        <v>0.47105 - 2.32488</v>
      </c>
      <c r="P10" s="6">
        <f t="shared" ref="P10" si="7">AVERAGE(C10:N10)</f>
        <v>1.1862981199166667</v>
      </c>
    </row>
    <row r="11" spans="1:16" x14ac:dyDescent="0.2">
      <c r="A11" s="39" t="s">
        <v>18</v>
      </c>
      <c r="B11" s="6" t="s">
        <v>19</v>
      </c>
      <c r="C11" s="20">
        <v>4.6893610000000002E-4</v>
      </c>
      <c r="D11" s="20">
        <v>9.3748780000000003E-4</v>
      </c>
      <c r="E11" s="6">
        <v>2.774987E-3</v>
      </c>
      <c r="F11" s="20">
        <v>1.175377E-2</v>
      </c>
      <c r="G11" s="6">
        <v>0.17874652999999999</v>
      </c>
      <c r="H11" s="6">
        <v>0.31220536300000001</v>
      </c>
      <c r="I11" s="6">
        <v>0.13543797399999999</v>
      </c>
      <c r="J11" s="6">
        <v>0.14922008</v>
      </c>
      <c r="K11" s="6">
        <v>5.5001590000000003E-2</v>
      </c>
      <c r="L11" s="6">
        <v>1.141533E-2</v>
      </c>
      <c r="M11" s="6">
        <v>0</v>
      </c>
      <c r="N11" s="20">
        <v>9.9821890000000003E-4</v>
      </c>
      <c r="O11" s="6" t="str">
        <f t="shared" si="0"/>
        <v>0.00000 - 0.31221</v>
      </c>
      <c r="P11" s="6">
        <f t="shared" si="1"/>
        <v>7.1580022233333332E-2</v>
      </c>
    </row>
    <row r="12" spans="1:16" x14ac:dyDescent="0.2">
      <c r="A12" s="39"/>
      <c r="B12" s="6" t="s">
        <v>20</v>
      </c>
      <c r="C12" s="20">
        <v>0.75676790000000005</v>
      </c>
      <c r="D12" s="20">
        <v>0.57814860000000001</v>
      </c>
      <c r="E12" s="6">
        <v>0</v>
      </c>
      <c r="F12" s="20">
        <v>0.40687200000000001</v>
      </c>
      <c r="G12" s="6">
        <v>6.1653375000000003E-2</v>
      </c>
      <c r="H12" s="6">
        <v>4.3966988999999998E-2</v>
      </c>
      <c r="I12" s="6">
        <v>0.36722617499999999</v>
      </c>
      <c r="J12" s="6">
        <v>0.23787591</v>
      </c>
      <c r="K12" s="6">
        <v>0.74159900999999995</v>
      </c>
      <c r="L12" s="6">
        <v>0.97135329999999998</v>
      </c>
      <c r="M12" s="6">
        <v>0.32460257300000001</v>
      </c>
      <c r="N12" s="20">
        <v>0.78901540000000003</v>
      </c>
      <c r="O12" s="6" t="str">
        <f t="shared" si="0"/>
        <v>0.00000 - 0.97135</v>
      </c>
      <c r="P12" s="6">
        <f t="shared" si="1"/>
        <v>0.439923436</v>
      </c>
    </row>
    <row r="13" spans="1:16" x14ac:dyDescent="0.2">
      <c r="A13" s="39"/>
      <c r="B13" s="6" t="s">
        <v>21</v>
      </c>
      <c r="C13" s="20">
        <v>7.3484589999999999E-3</v>
      </c>
      <c r="D13" s="20">
        <v>9.7269650000000006E-3</v>
      </c>
      <c r="E13" s="6">
        <v>0</v>
      </c>
      <c r="F13" s="20">
        <v>8.250585E-4</v>
      </c>
      <c r="G13" s="6">
        <v>6.3709969999999998E-3</v>
      </c>
      <c r="H13" s="6">
        <v>1.5893859999999999E-3</v>
      </c>
      <c r="I13" s="6">
        <v>3.2859353000000001E-2</v>
      </c>
      <c r="J13" s="6">
        <v>4.501633E-2</v>
      </c>
      <c r="K13" s="6">
        <v>2.0074689999999999E-2</v>
      </c>
      <c r="L13" s="6">
        <v>1.5927489999999999E-2</v>
      </c>
      <c r="M13" s="6">
        <v>2.1875869999999999E-2</v>
      </c>
      <c r="N13" s="20">
        <v>8.5303710000000005E-2</v>
      </c>
      <c r="O13" s="6" t="str">
        <f t="shared" si="0"/>
        <v>0.00000 - 0.08530</v>
      </c>
      <c r="P13" s="6">
        <f t="shared" si="1"/>
        <v>2.0576525708333331E-2</v>
      </c>
    </row>
    <row r="14" spans="1:16" x14ac:dyDescent="0.2">
      <c r="A14" s="39"/>
      <c r="B14" s="6" t="s">
        <v>22</v>
      </c>
      <c r="C14" s="20">
        <v>2.3987340000000001</v>
      </c>
      <c r="D14" s="20">
        <v>2.6991610000000001</v>
      </c>
      <c r="E14" s="6">
        <v>0.119364228</v>
      </c>
      <c r="F14" s="20">
        <v>3.2083460000000001</v>
      </c>
      <c r="G14" s="6">
        <v>0.38580392499999999</v>
      </c>
      <c r="H14" s="6">
        <v>6.7875430980000004</v>
      </c>
      <c r="I14" s="6">
        <v>3.6138453799999999</v>
      </c>
      <c r="J14" s="6">
        <v>5.0964741499999997</v>
      </c>
      <c r="K14" s="6">
        <v>4.6043037900000003</v>
      </c>
      <c r="L14" s="6">
        <v>0.48949549999999997</v>
      </c>
      <c r="M14" s="6">
        <v>1.047041318</v>
      </c>
      <c r="N14" s="20">
        <v>3.063809</v>
      </c>
      <c r="O14" s="6" t="str">
        <f t="shared" si="0"/>
        <v>0.11936 - 6.78754</v>
      </c>
      <c r="P14" s="6">
        <f t="shared" si="1"/>
        <v>2.7928267824166668</v>
      </c>
    </row>
    <row r="15" spans="1:16" x14ac:dyDescent="0.2">
      <c r="A15" s="39"/>
      <c r="B15" s="6" t="s">
        <v>23</v>
      </c>
      <c r="C15" s="20">
        <v>0.26132119999999998</v>
      </c>
      <c r="D15" s="20">
        <v>0.23361280000000001</v>
      </c>
      <c r="E15" s="6">
        <v>3.4374549999999999E-3</v>
      </c>
      <c r="F15" s="20">
        <v>0.14082320000000001</v>
      </c>
      <c r="G15" s="6">
        <v>7.9559620000000005E-3</v>
      </c>
      <c r="H15" s="6">
        <v>0.66935594600000003</v>
      </c>
      <c r="I15" s="6">
        <v>0.45708586499999998</v>
      </c>
      <c r="J15" s="6">
        <v>0.47327761000000002</v>
      </c>
      <c r="K15" s="6">
        <v>0.84677639000000005</v>
      </c>
      <c r="L15" s="6">
        <v>0.66611971000000003</v>
      </c>
      <c r="M15" s="6">
        <v>0.35870902700000001</v>
      </c>
      <c r="N15" s="20">
        <v>0.77010420000000002</v>
      </c>
      <c r="O15" s="6" t="str">
        <f t="shared" si="0"/>
        <v>0.00344 - 0.84678</v>
      </c>
      <c r="P15" s="6">
        <f t="shared" si="1"/>
        <v>0.40738161374999998</v>
      </c>
    </row>
    <row r="16" spans="1:16" x14ac:dyDescent="0.2">
      <c r="A16" s="39"/>
      <c r="B16" s="6" t="s">
        <v>24</v>
      </c>
      <c r="C16" s="20">
        <v>1.387994</v>
      </c>
      <c r="D16" s="20">
        <v>2.3286829999999998</v>
      </c>
      <c r="E16" s="6">
        <v>4.9084927E-2</v>
      </c>
      <c r="F16" s="20">
        <v>3.4586049999999999</v>
      </c>
      <c r="G16" s="6">
        <v>2.9901595999999999E-2</v>
      </c>
      <c r="H16" s="6">
        <v>7.377714954</v>
      </c>
      <c r="I16" s="6">
        <v>3.1201571299999999</v>
      </c>
      <c r="J16" s="6">
        <v>5.6553579699999998</v>
      </c>
      <c r="K16" s="6">
        <v>3.58642722</v>
      </c>
      <c r="L16" s="6">
        <v>0.56480357000000003</v>
      </c>
      <c r="M16" s="6">
        <v>0.65518235199999997</v>
      </c>
      <c r="N16" s="20">
        <v>2.3367819999999999</v>
      </c>
      <c r="O16" s="6" t="str">
        <f t="shared" si="0"/>
        <v>0.02990 - 7.37771</v>
      </c>
      <c r="P16" s="6">
        <f t="shared" si="1"/>
        <v>2.54589114325</v>
      </c>
    </row>
    <row r="17" spans="1:17" x14ac:dyDescent="0.2">
      <c r="A17" s="39"/>
      <c r="B17" s="6" t="s">
        <v>25</v>
      </c>
      <c r="C17" s="20">
        <v>0.1532722</v>
      </c>
      <c r="D17" s="20">
        <v>0.21897159999999999</v>
      </c>
      <c r="E17" s="6">
        <v>1.7879149999999999E-3</v>
      </c>
      <c r="F17" s="20">
        <v>0.39852340000000003</v>
      </c>
      <c r="G17" s="6">
        <v>0.133189002</v>
      </c>
      <c r="H17" s="6">
        <v>2.2132104749999999</v>
      </c>
      <c r="I17" s="6">
        <v>1.2489725110000001</v>
      </c>
      <c r="J17" s="6">
        <v>1.1898458199999999</v>
      </c>
      <c r="K17" s="6">
        <v>1.6865227700000001</v>
      </c>
      <c r="L17" s="6">
        <v>0.28390198999999999</v>
      </c>
      <c r="M17" s="6">
        <v>8.6939025000000003E-2</v>
      </c>
      <c r="N17" s="20">
        <v>0.27288200000000001</v>
      </c>
      <c r="O17" s="6" t="str">
        <f t="shared" si="0"/>
        <v>0.00179 - 2.21321</v>
      </c>
      <c r="P17" s="6">
        <f t="shared" si="1"/>
        <v>0.65733489233333342</v>
      </c>
    </row>
    <row r="18" spans="1:17" x14ac:dyDescent="0.2">
      <c r="A18" s="39"/>
      <c r="B18" s="6" t="s">
        <v>242</v>
      </c>
      <c r="C18" s="20">
        <v>4.9659066950999993</v>
      </c>
      <c r="D18" s="20">
        <v>6.0692414528</v>
      </c>
      <c r="E18" s="20">
        <v>0.176449512</v>
      </c>
      <c r="F18" s="20">
        <v>7.6257484284999997</v>
      </c>
      <c r="G18" s="20">
        <v>0.80362138699999996</v>
      </c>
      <c r="H18" s="20">
        <v>17.405586210999999</v>
      </c>
      <c r="I18" s="20">
        <v>8.9755843879999997</v>
      </c>
      <c r="J18" s="20">
        <v>12.84706787</v>
      </c>
      <c r="K18" s="20">
        <v>11.540705460000002</v>
      </c>
      <c r="L18" s="20">
        <v>3.0030168899999996</v>
      </c>
      <c r="M18" s="20">
        <v>2.4943501649999997</v>
      </c>
      <c r="N18" s="20">
        <v>7.3188945289000005</v>
      </c>
      <c r="O18" s="6" t="str">
        <f t="shared" si="0"/>
        <v>0.17645 - 17.40559</v>
      </c>
      <c r="P18" s="6">
        <f t="shared" si="1"/>
        <v>6.9355144156916664</v>
      </c>
    </row>
    <row r="19" spans="1:17" x14ac:dyDescent="0.2">
      <c r="A19" s="39"/>
      <c r="B19" s="8" t="s">
        <v>185</v>
      </c>
      <c r="C19" s="20">
        <v>0.123685</v>
      </c>
      <c r="D19" s="20">
        <v>0.17493349999999999</v>
      </c>
      <c r="E19" s="6">
        <v>1.048449856</v>
      </c>
      <c r="F19" s="20">
        <v>0.86977309999999997</v>
      </c>
      <c r="G19" s="6">
        <v>4.5093730570000004</v>
      </c>
      <c r="H19" s="6">
        <v>1.3465119910000001</v>
      </c>
      <c r="I19" s="6">
        <v>0.57013214000000001</v>
      </c>
      <c r="J19" s="6">
        <v>0.35763488999999998</v>
      </c>
      <c r="K19" s="6">
        <v>0.2892248</v>
      </c>
      <c r="L19" s="6">
        <v>0.36559431999999997</v>
      </c>
      <c r="M19" s="6">
        <v>0.535318823</v>
      </c>
      <c r="N19" s="20">
        <v>0.20440230000000001</v>
      </c>
      <c r="O19" s="6" t="str">
        <f t="shared" si="0"/>
        <v>0.12369 - 4.50937</v>
      </c>
      <c r="P19" s="6">
        <f t="shared" si="1"/>
        <v>0.86625281475000004</v>
      </c>
    </row>
    <row r="20" spans="1:17" ht="17" customHeight="1" x14ac:dyDescent="0.2">
      <c r="A20" s="39"/>
      <c r="B20" s="6" t="s">
        <v>243</v>
      </c>
      <c r="C20" s="20">
        <v>0.123685</v>
      </c>
      <c r="D20" s="20">
        <v>0.17493349999999999</v>
      </c>
      <c r="E20" s="6">
        <v>1.048449856</v>
      </c>
      <c r="F20" s="20">
        <v>0.86977309999999997</v>
      </c>
      <c r="G20" s="6">
        <v>4.5093730570000004</v>
      </c>
      <c r="H20" s="6">
        <v>1.3465119910000001</v>
      </c>
      <c r="I20" s="6">
        <v>0.57013214000000001</v>
      </c>
      <c r="J20" s="6">
        <v>0.35763488999999998</v>
      </c>
      <c r="K20" s="6">
        <v>0.2892248</v>
      </c>
      <c r="L20" s="6">
        <v>0.36559431999999997</v>
      </c>
      <c r="M20" s="6">
        <v>0.535318823</v>
      </c>
      <c r="N20" s="20">
        <v>0.20440230000000001</v>
      </c>
      <c r="O20" s="6" t="str">
        <f t="shared" ref="O20" si="8">TEXT(MIN(C20:N20),"0.00000")&amp;" - "&amp;TEXT(MAX(C20:N20),"0.00000")</f>
        <v>0.12369 - 4.50937</v>
      </c>
      <c r="P20" s="6">
        <f t="shared" ref="P20" si="9">AVERAGE(C20:N20)</f>
        <v>0.86625281475000004</v>
      </c>
    </row>
    <row r="21" spans="1:17" x14ac:dyDescent="0.2">
      <c r="A21" s="4" t="s">
        <v>231</v>
      </c>
      <c r="B21" s="8" t="s">
        <v>27</v>
      </c>
      <c r="C21" s="20">
        <v>13.10749</v>
      </c>
      <c r="D21" s="20">
        <v>10.85488</v>
      </c>
      <c r="E21" s="6">
        <v>8.176573565</v>
      </c>
      <c r="F21" s="20">
        <v>16.8277</v>
      </c>
      <c r="G21" s="6">
        <v>10.892792972000001</v>
      </c>
      <c r="H21" s="6">
        <v>24.581740506999999</v>
      </c>
      <c r="I21" s="6">
        <v>15.451245381</v>
      </c>
      <c r="J21" s="6">
        <v>18.974591090000001</v>
      </c>
      <c r="K21" s="6">
        <v>24.130703149999999</v>
      </c>
      <c r="L21" s="6">
        <v>29.152870530000001</v>
      </c>
      <c r="M21" s="6">
        <v>17.277659478</v>
      </c>
      <c r="N21" s="20">
        <v>25.200510000000001</v>
      </c>
      <c r="O21" s="6" t="str">
        <f t="shared" si="0"/>
        <v>8.17657 - 29.15287</v>
      </c>
      <c r="P21" s="6">
        <f t="shared" si="1"/>
        <v>17.885729722750003</v>
      </c>
    </row>
    <row r="22" spans="1:17" ht="17" customHeight="1" x14ac:dyDescent="0.2">
      <c r="A22" s="39" t="s">
        <v>28</v>
      </c>
      <c r="B22" s="6" t="s">
        <v>29</v>
      </c>
      <c r="C22" s="20">
        <v>2.0427549999999999E-2</v>
      </c>
      <c r="D22" s="20">
        <v>0</v>
      </c>
      <c r="E22" s="6">
        <v>0</v>
      </c>
      <c r="F22" s="20">
        <v>1.005522E-3</v>
      </c>
      <c r="G22" s="6">
        <v>0</v>
      </c>
      <c r="H22" s="6">
        <v>4.6680284000000002E-2</v>
      </c>
      <c r="I22" s="6">
        <v>2.9792049000000001E-2</v>
      </c>
      <c r="J22" s="6">
        <v>2.231329E-2</v>
      </c>
      <c r="K22" s="6">
        <v>3.6732109999999998E-2</v>
      </c>
      <c r="L22" s="6">
        <v>0.27756732000000001</v>
      </c>
      <c r="M22" s="6">
        <v>4.8549302000000003E-2</v>
      </c>
      <c r="N22" s="20">
        <v>0.19609760000000001</v>
      </c>
      <c r="O22" s="6" t="str">
        <f t="shared" si="0"/>
        <v>0.00000 - 0.27757</v>
      </c>
      <c r="P22" s="6">
        <f t="shared" si="1"/>
        <v>5.6597085583333338E-2</v>
      </c>
    </row>
    <row r="23" spans="1:17" x14ac:dyDescent="0.2">
      <c r="A23" s="39"/>
      <c r="B23" s="6" t="s">
        <v>30</v>
      </c>
      <c r="C23" s="20">
        <v>2.0541469999999999</v>
      </c>
      <c r="D23" s="20">
        <v>1.676118</v>
      </c>
      <c r="E23" s="6">
        <v>0.30373510799999998</v>
      </c>
      <c r="F23" s="20">
        <v>1.7457819999999999</v>
      </c>
      <c r="G23" s="6">
        <v>1.1742940509999999</v>
      </c>
      <c r="H23" s="6">
        <v>5.4963240559999997</v>
      </c>
      <c r="I23" s="6">
        <v>5.1466130290000001</v>
      </c>
      <c r="J23" s="6">
        <v>5.1757604800000001</v>
      </c>
      <c r="K23" s="6">
        <v>7.3306429900000003</v>
      </c>
      <c r="L23" s="6">
        <v>13.88624933</v>
      </c>
      <c r="M23" s="6">
        <v>1.737904712</v>
      </c>
      <c r="N23" s="20">
        <v>4.2869789999999997</v>
      </c>
      <c r="O23" s="6" t="str">
        <f t="shared" si="0"/>
        <v>0.30374 - 13.88625</v>
      </c>
      <c r="P23" s="6">
        <f t="shared" si="1"/>
        <v>4.167879146333334</v>
      </c>
    </row>
    <row r="24" spans="1:17" x14ac:dyDescent="0.2">
      <c r="A24" s="39"/>
      <c r="B24" s="6" t="s">
        <v>31</v>
      </c>
      <c r="C24" s="20">
        <f>SUM(C22:C23)</f>
        <v>2.0745745499999999</v>
      </c>
      <c r="D24" s="20">
        <f t="shared" ref="D24:N24" si="10">SUM(D22:D23)</f>
        <v>1.676118</v>
      </c>
      <c r="E24" s="20">
        <f t="shared" si="10"/>
        <v>0.30373510799999998</v>
      </c>
      <c r="F24" s="20">
        <f t="shared" si="10"/>
        <v>1.746787522</v>
      </c>
      <c r="G24" s="20">
        <f t="shared" si="10"/>
        <v>1.1742940509999999</v>
      </c>
      <c r="H24" s="20">
        <f t="shared" si="10"/>
        <v>5.5430043399999995</v>
      </c>
      <c r="I24" s="20">
        <f t="shared" si="10"/>
        <v>5.1764050780000002</v>
      </c>
      <c r="J24" s="20">
        <f t="shared" si="10"/>
        <v>5.1980737699999997</v>
      </c>
      <c r="K24" s="20">
        <f t="shared" si="10"/>
        <v>7.3673751000000003</v>
      </c>
      <c r="L24" s="20">
        <f t="shared" si="10"/>
        <v>14.163816649999999</v>
      </c>
      <c r="M24" s="20">
        <f t="shared" si="10"/>
        <v>1.786454014</v>
      </c>
      <c r="N24" s="20">
        <f t="shared" si="10"/>
        <v>4.4830765999999995</v>
      </c>
      <c r="O24" s="6" t="str">
        <f t="shared" si="0"/>
        <v>0.30374 - 14.16382</v>
      </c>
      <c r="P24" s="6">
        <f t="shared" si="1"/>
        <v>4.2244762319166664</v>
      </c>
    </row>
    <row r="25" spans="1:17" x14ac:dyDescent="0.2">
      <c r="A25" s="4" t="s">
        <v>32</v>
      </c>
      <c r="B25" s="6" t="s">
        <v>33</v>
      </c>
      <c r="C25" s="20">
        <v>0.92220749999999996</v>
      </c>
      <c r="D25" s="20">
        <v>1.1204350000000001</v>
      </c>
      <c r="E25" s="6">
        <v>7.9488707000000006E-2</v>
      </c>
      <c r="F25" s="20">
        <v>0.69819260000000005</v>
      </c>
      <c r="G25" s="6">
        <v>1.4757650000000001E-2</v>
      </c>
      <c r="H25" s="6">
        <v>2.9136023039999999</v>
      </c>
      <c r="I25" s="6">
        <v>1.9355314939999999</v>
      </c>
      <c r="J25" s="6">
        <v>1.2074562900000001</v>
      </c>
      <c r="K25" s="6">
        <v>2.8942902099999999</v>
      </c>
      <c r="L25" s="6">
        <v>0.48193966999999999</v>
      </c>
      <c r="M25" s="6">
        <v>0.44607413099999998</v>
      </c>
      <c r="N25" s="20">
        <v>0.93568399999999996</v>
      </c>
      <c r="O25" s="6" t="str">
        <f t="shared" si="0"/>
        <v>0.01476 - 2.91360</v>
      </c>
      <c r="P25" s="6">
        <f t="shared" si="1"/>
        <v>1.1374716296666665</v>
      </c>
    </row>
    <row r="26" spans="1:17" x14ac:dyDescent="0.2">
      <c r="A26" s="39" t="s">
        <v>34</v>
      </c>
      <c r="B26" s="6" t="s">
        <v>36</v>
      </c>
      <c r="C26" s="20">
        <v>6.4833629999999998</v>
      </c>
      <c r="D26" s="20">
        <v>4.6334309999999999</v>
      </c>
      <c r="E26" s="6">
        <v>0.90968320499999999</v>
      </c>
      <c r="F26" s="20">
        <v>5.193174</v>
      </c>
      <c r="G26" s="6">
        <v>2.6150698879999998</v>
      </c>
      <c r="H26" s="6">
        <v>20.424756026000001</v>
      </c>
      <c r="I26" s="6">
        <v>17.214318701</v>
      </c>
      <c r="J26" s="6">
        <v>15.720938609999999</v>
      </c>
      <c r="K26" s="6">
        <v>23.025666730000001</v>
      </c>
      <c r="L26" s="6">
        <v>32.051295250000003</v>
      </c>
      <c r="M26" s="6">
        <v>4.3876910540000003</v>
      </c>
      <c r="N26" s="20">
        <v>10.74816</v>
      </c>
      <c r="O26" s="6" t="str">
        <f t="shared" si="0"/>
        <v>0.90968 - 32.05130</v>
      </c>
      <c r="P26" s="6">
        <f t="shared" si="1"/>
        <v>11.950628955333334</v>
      </c>
      <c r="Q26" s="6"/>
    </row>
    <row r="27" spans="1:17" x14ac:dyDescent="0.2">
      <c r="A27" s="39"/>
      <c r="B27" s="6" t="s">
        <v>37</v>
      </c>
      <c r="C27" s="20">
        <v>50.47495</v>
      </c>
      <c r="D27" s="20">
        <v>48.387909999999998</v>
      </c>
      <c r="E27" s="6">
        <v>46.501336860000002</v>
      </c>
      <c r="F27" s="20">
        <v>55.507480000000001</v>
      </c>
      <c r="G27" s="6">
        <v>13.574532313000001</v>
      </c>
      <c r="H27" s="6">
        <v>9.624322136</v>
      </c>
      <c r="I27" s="6">
        <v>26.291717959</v>
      </c>
      <c r="J27" s="6">
        <v>15.214242759999999</v>
      </c>
      <c r="K27" s="6">
        <v>32.023495799999999</v>
      </c>
      <c r="L27" s="6">
        <v>122.69746469</v>
      </c>
      <c r="M27" s="6">
        <v>95.036047964999995</v>
      </c>
      <c r="N27" s="20">
        <v>64.505769999999998</v>
      </c>
      <c r="O27" s="6" t="str">
        <f t="shared" si="0"/>
        <v>9.62432 - 122.69746</v>
      </c>
      <c r="P27" s="6">
        <f t="shared" si="1"/>
        <v>48.319939206916665</v>
      </c>
      <c r="Q27" s="6"/>
    </row>
    <row r="28" spans="1:17" x14ac:dyDescent="0.2">
      <c r="A28" s="39"/>
      <c r="B28" s="6" t="s">
        <v>35</v>
      </c>
      <c r="C28" s="20">
        <v>14.653130000000001</v>
      </c>
      <c r="D28" s="20">
        <v>16.447050000000001</v>
      </c>
      <c r="E28" s="6">
        <v>59.721335600000003</v>
      </c>
      <c r="F28" s="20">
        <v>41.437530000000002</v>
      </c>
      <c r="G28" s="6">
        <v>32.793248275000003</v>
      </c>
      <c r="H28" s="6">
        <v>27.157842573</v>
      </c>
      <c r="I28" s="6">
        <v>12.236764444</v>
      </c>
      <c r="J28" s="6">
        <v>21.918620430000001</v>
      </c>
      <c r="K28" s="6">
        <v>13.570711449999999</v>
      </c>
      <c r="L28" s="6">
        <v>19.278652919999999</v>
      </c>
      <c r="M28" s="6">
        <v>29.545289335</v>
      </c>
      <c r="N28" s="20">
        <v>44.53463</v>
      </c>
      <c r="O28" s="6" t="str">
        <f>TEXT(MIN(C28:N28),"0.00000")&amp;" - "&amp;TEXT(MAX(C28:N28),"0.00000")</f>
        <v>12.23676 - 59.72134</v>
      </c>
      <c r="P28" s="6">
        <f>AVERAGE(C28:N28)</f>
        <v>27.774567085583332</v>
      </c>
      <c r="Q28" s="6"/>
    </row>
    <row r="29" spans="1:17" x14ac:dyDescent="0.2">
      <c r="A29" s="39"/>
      <c r="B29" s="6" t="s">
        <v>218</v>
      </c>
      <c r="C29" s="33">
        <f>SUM(C26:C28)</f>
        <v>71.611442999999994</v>
      </c>
      <c r="D29" s="33">
        <f t="shared" ref="D29:N29" si="11">SUM(D26:D28)</f>
        <v>69.468390999999997</v>
      </c>
      <c r="E29" s="33">
        <f t="shared" si="11"/>
        <v>107.13235566500001</v>
      </c>
      <c r="F29" s="33">
        <f t="shared" si="11"/>
        <v>102.138184</v>
      </c>
      <c r="G29" s="33">
        <f t="shared" si="11"/>
        <v>48.982850476000003</v>
      </c>
      <c r="H29" s="33">
        <f t="shared" si="11"/>
        <v>57.206920734999997</v>
      </c>
      <c r="I29" s="33">
        <f t="shared" si="11"/>
        <v>55.742801104000002</v>
      </c>
      <c r="J29" s="33">
        <f t="shared" si="11"/>
        <v>52.853801799999999</v>
      </c>
      <c r="K29" s="33">
        <f t="shared" si="11"/>
        <v>68.619873980000008</v>
      </c>
      <c r="L29" s="33">
        <f t="shared" si="11"/>
        <v>174.02741286000003</v>
      </c>
      <c r="M29" s="33">
        <f t="shared" si="11"/>
        <v>128.96902835399999</v>
      </c>
      <c r="N29" s="33">
        <f t="shared" si="11"/>
        <v>119.78855999999999</v>
      </c>
      <c r="O29" s="6" t="str">
        <f>TEXT(MIN(C29:N29),"0.00000")&amp;" - "&amp;TEXT(MAX(C29:N29),"0.00000")</f>
        <v>48.98285 - 174.02741</v>
      </c>
      <c r="P29" s="6">
        <f>AVERAGE(C29:N29)</f>
        <v>88.045135247833343</v>
      </c>
      <c r="Q29" s="6"/>
    </row>
    <row r="30" spans="1:17" x14ac:dyDescent="0.2">
      <c r="A30" s="39" t="s">
        <v>186</v>
      </c>
      <c r="B30" s="6" t="s">
        <v>59</v>
      </c>
      <c r="C30" s="20">
        <v>2.5507049999999999E-3</v>
      </c>
      <c r="D30" s="20">
        <v>1.043037E-2</v>
      </c>
      <c r="E30" s="6">
        <v>0</v>
      </c>
      <c r="F30" s="20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20">
        <v>0</v>
      </c>
      <c r="O30" s="6" t="str">
        <f t="shared" si="0"/>
        <v>0.00000 - 0.01043</v>
      </c>
      <c r="P30" s="6">
        <f t="shared" si="1"/>
        <v>1.08175625E-3</v>
      </c>
      <c r="Q30" s="6"/>
    </row>
    <row r="31" spans="1:17" x14ac:dyDescent="0.2">
      <c r="A31" s="39"/>
      <c r="B31" s="6" t="s">
        <v>64</v>
      </c>
      <c r="C31" s="20">
        <v>0.33519130000000003</v>
      </c>
      <c r="D31" s="20">
        <v>0.15466630000000001</v>
      </c>
      <c r="E31" s="6">
        <v>2.7510021999999999E-2</v>
      </c>
      <c r="F31" s="20">
        <v>1.9002290000000002E-2</v>
      </c>
      <c r="G31" s="6">
        <v>5.2328660000000001E-3</v>
      </c>
      <c r="H31" s="6">
        <v>0.18547345700000001</v>
      </c>
      <c r="I31" s="6">
        <v>7.8632514000000001E-2</v>
      </c>
      <c r="J31" s="6">
        <v>6.1474059999999997E-2</v>
      </c>
      <c r="K31" s="6">
        <v>5.9244499999999999E-2</v>
      </c>
      <c r="L31" s="6">
        <v>0.24413602000000001</v>
      </c>
      <c r="M31" s="6">
        <v>0</v>
      </c>
      <c r="N31" s="20">
        <v>0.24074100000000001</v>
      </c>
      <c r="O31" s="6" t="str">
        <f t="shared" si="0"/>
        <v>0.00000 - 0.33519</v>
      </c>
      <c r="P31" s="6">
        <f t="shared" si="1"/>
        <v>0.11760869408333335</v>
      </c>
      <c r="Q31" s="6"/>
    </row>
    <row r="32" spans="1:17" x14ac:dyDescent="0.2">
      <c r="A32" s="39"/>
      <c r="B32" s="6" t="s">
        <v>66</v>
      </c>
      <c r="C32" s="20">
        <v>3.0433780000000001</v>
      </c>
      <c r="D32" s="20">
        <v>2.898911</v>
      </c>
      <c r="E32" s="6">
        <v>0.44008770000000003</v>
      </c>
      <c r="F32" s="20">
        <v>3.1925650000000001</v>
      </c>
      <c r="G32" s="6">
        <v>0.48949261799999999</v>
      </c>
      <c r="H32" s="6">
        <v>3.7434712370000001</v>
      </c>
      <c r="I32" s="6">
        <v>2.645355473</v>
      </c>
      <c r="J32" s="6">
        <v>3.5705245200000002</v>
      </c>
      <c r="K32" s="6">
        <v>2.77368003</v>
      </c>
      <c r="L32" s="6">
        <v>3.1922539400000001</v>
      </c>
      <c r="M32" s="6">
        <v>2.9172759570000002</v>
      </c>
      <c r="N32" s="20">
        <v>5.5471620000000001</v>
      </c>
      <c r="O32" s="6" t="str">
        <f t="shared" si="0"/>
        <v>0.44009 - 5.54716</v>
      </c>
      <c r="P32" s="6">
        <f t="shared" si="1"/>
        <v>2.8711797895833335</v>
      </c>
      <c r="Q32" s="6"/>
    </row>
    <row r="33" spans="1:17" x14ac:dyDescent="0.2">
      <c r="A33" s="4" t="s">
        <v>187</v>
      </c>
      <c r="B33" s="6" t="s">
        <v>60</v>
      </c>
      <c r="C33" s="20">
        <v>7.3238209999999998E-2</v>
      </c>
      <c r="D33" s="20">
        <v>1.962767E-2</v>
      </c>
      <c r="E33" s="6">
        <v>0</v>
      </c>
      <c r="F33" s="20">
        <v>9.7652099999999999E-3</v>
      </c>
      <c r="G33" s="6">
        <v>0</v>
      </c>
      <c r="H33" s="6">
        <v>1.3494213E-2</v>
      </c>
      <c r="I33" s="6">
        <v>0.15820904999999999</v>
      </c>
      <c r="J33" s="6">
        <v>8.4323170000000003E-2</v>
      </c>
      <c r="K33" s="6">
        <v>1.5135869999999999E-2</v>
      </c>
      <c r="L33" s="6">
        <v>0</v>
      </c>
      <c r="M33" s="6">
        <v>3.2483439999999998E-3</v>
      </c>
      <c r="N33" s="20">
        <v>1.01294E-2</v>
      </c>
      <c r="O33" s="6" t="str">
        <f t="shared" si="0"/>
        <v>0.00000 - 0.15821</v>
      </c>
      <c r="P33" s="6">
        <f t="shared" si="1"/>
        <v>3.2264261416666669E-2</v>
      </c>
      <c r="Q33" s="6"/>
    </row>
    <row r="34" spans="1:17" x14ac:dyDescent="0.2">
      <c r="A34" s="7" t="s">
        <v>219</v>
      </c>
      <c r="B34" s="6" t="s">
        <v>220</v>
      </c>
      <c r="C34" s="21">
        <v>42.568399999999997</v>
      </c>
      <c r="D34" s="21">
        <v>41.923470000000002</v>
      </c>
      <c r="E34" s="8">
        <v>27.656562896000001</v>
      </c>
      <c r="F34" s="21">
        <v>51.867699999999999</v>
      </c>
      <c r="G34" s="8">
        <v>36.554137625000003</v>
      </c>
      <c r="H34" s="8">
        <v>64.783384346000005</v>
      </c>
      <c r="I34" s="8">
        <v>57.091951103</v>
      </c>
      <c r="J34" s="8">
        <v>66.999100819999995</v>
      </c>
      <c r="K34" s="8">
        <v>52.717209959999998</v>
      </c>
      <c r="L34" s="8">
        <v>76.335987810000006</v>
      </c>
      <c r="M34" s="8">
        <v>35.951680987000003</v>
      </c>
      <c r="N34" s="21">
        <v>49.537269999999999</v>
      </c>
      <c r="O34" s="6" t="str">
        <f t="shared" ref="O34:O38" si="12">TEXT(MIN(C34:N34),"0.00000")&amp;" - "&amp;TEXT(MAX(C34:N34),"0.00000")</f>
        <v>27.65656 - 76.33599</v>
      </c>
      <c r="P34" s="6">
        <f t="shared" ref="P34:P38" si="13">AVERAGE(C34:N34)</f>
        <v>50.332237962249998</v>
      </c>
      <c r="Q34" s="6"/>
    </row>
    <row r="35" spans="1:17" x14ac:dyDescent="0.2">
      <c r="A35" s="7" t="s">
        <v>224</v>
      </c>
      <c r="B35" s="6" t="s">
        <v>221</v>
      </c>
      <c r="C35" s="21">
        <v>11.593780000000001</v>
      </c>
      <c r="D35" s="21">
        <v>10.896330000000001</v>
      </c>
      <c r="E35" s="8">
        <v>5.1786014270000003</v>
      </c>
      <c r="F35" s="21">
        <v>13.60303</v>
      </c>
      <c r="G35" s="8">
        <v>8.7116291350000008</v>
      </c>
      <c r="H35" s="8">
        <v>23.721171857000002</v>
      </c>
      <c r="I35" s="8">
        <v>19.527102491000001</v>
      </c>
      <c r="J35" s="8">
        <v>19.017497209999998</v>
      </c>
      <c r="K35" s="8">
        <v>18.143268330000001</v>
      </c>
      <c r="L35" s="8">
        <v>35.017855150000003</v>
      </c>
      <c r="M35" s="8">
        <v>11.258439495999999</v>
      </c>
      <c r="N35" s="21">
        <v>19.903410000000001</v>
      </c>
      <c r="O35" s="6" t="str">
        <f t="shared" si="12"/>
        <v>5.17860 - 35.01786</v>
      </c>
      <c r="P35" s="6">
        <f t="shared" si="13"/>
        <v>16.381009591333335</v>
      </c>
      <c r="Q35" s="6"/>
    </row>
    <row r="36" spans="1:17" x14ac:dyDescent="0.2">
      <c r="A36" s="7" t="s">
        <v>225</v>
      </c>
      <c r="B36" s="6" t="s">
        <v>222</v>
      </c>
      <c r="C36" s="21">
        <v>9.5443370000000005</v>
      </c>
      <c r="D36" s="21">
        <v>8.7527690000000007</v>
      </c>
      <c r="E36" s="8">
        <v>8.3186911440000006</v>
      </c>
      <c r="F36" s="21">
        <v>11.79027</v>
      </c>
      <c r="G36" s="8">
        <v>20.496417185999999</v>
      </c>
      <c r="H36" s="8">
        <v>26.348579517000001</v>
      </c>
      <c r="I36" s="8">
        <v>18.992158518</v>
      </c>
      <c r="J36" s="8">
        <v>19.210781600000001</v>
      </c>
      <c r="K36" s="8">
        <v>18.978085799999999</v>
      </c>
      <c r="L36" s="8">
        <v>19.585222430000002</v>
      </c>
      <c r="M36" s="8">
        <v>10.831400078</v>
      </c>
      <c r="N36" s="21">
        <v>14.311719999999999</v>
      </c>
      <c r="O36" s="6" t="str">
        <f t="shared" si="12"/>
        <v>8.31869 - 26.34858</v>
      </c>
      <c r="P36" s="6">
        <f t="shared" si="13"/>
        <v>15.596702689416666</v>
      </c>
      <c r="Q36" s="6"/>
    </row>
    <row r="37" spans="1:17" x14ac:dyDescent="0.2">
      <c r="A37" s="39" t="s">
        <v>226</v>
      </c>
      <c r="B37" s="6" t="s">
        <v>223</v>
      </c>
      <c r="C37" s="6">
        <v>0.66385720000000004</v>
      </c>
      <c r="D37" s="6">
        <v>0.87604150000000003</v>
      </c>
      <c r="E37" s="6">
        <v>5.634516E-3</v>
      </c>
      <c r="F37" s="6">
        <v>1.9566790000000001</v>
      </c>
      <c r="G37" s="6">
        <v>1.6858152000000001E-2</v>
      </c>
      <c r="H37" s="6">
        <v>3.3528202989999998</v>
      </c>
      <c r="I37" s="6">
        <v>1.316579441</v>
      </c>
      <c r="J37" s="6">
        <v>2.9199086300000001</v>
      </c>
      <c r="K37" s="6">
        <v>0.60550895000000005</v>
      </c>
      <c r="L37" s="6">
        <v>2.7614590000000001E-2</v>
      </c>
      <c r="M37" s="6">
        <v>0.26993821600000001</v>
      </c>
      <c r="N37" s="6">
        <v>0.95068799999999998</v>
      </c>
      <c r="O37" s="6" t="str">
        <f t="shared" si="12"/>
        <v>0.00563 - 3.35282</v>
      </c>
      <c r="P37" s="6">
        <f t="shared" si="13"/>
        <v>1.0801773745000001</v>
      </c>
    </row>
    <row r="38" spans="1:17" x14ac:dyDescent="0.2">
      <c r="A38" s="39"/>
      <c r="B38" s="8" t="s">
        <v>233</v>
      </c>
      <c r="C38" s="6">
        <v>9.7176179999999999</v>
      </c>
      <c r="D38" s="6">
        <v>8.610106</v>
      </c>
      <c r="E38" s="6">
        <v>5.1234561459999997</v>
      </c>
      <c r="F38" s="6">
        <v>13.18805</v>
      </c>
      <c r="G38" s="6">
        <v>10.938366715000001</v>
      </c>
      <c r="H38" s="6">
        <v>28.736254118000002</v>
      </c>
      <c r="I38" s="6">
        <v>17.403672247999999</v>
      </c>
      <c r="J38" s="6">
        <v>21.66552961</v>
      </c>
      <c r="K38" s="6">
        <v>16.758622949999999</v>
      </c>
      <c r="L38" s="6">
        <v>17.75002491</v>
      </c>
      <c r="M38" s="6">
        <v>7.5491655639999999</v>
      </c>
      <c r="N38" s="6">
        <v>12.142379999999999</v>
      </c>
      <c r="O38" s="6" t="str">
        <f t="shared" si="12"/>
        <v>5.12346 - 28.73625</v>
      </c>
      <c r="P38" s="6">
        <f t="shared" si="13"/>
        <v>14.131937188416666</v>
      </c>
    </row>
    <row r="39" spans="1:17" x14ac:dyDescent="0.2">
      <c r="A39" s="4"/>
      <c r="B39" s="6"/>
      <c r="C39" s="6"/>
      <c r="D39" s="6"/>
      <c r="E39" s="6"/>
      <c r="F39" s="20"/>
      <c r="G39" s="6"/>
      <c r="H39" s="6"/>
      <c r="I39" s="6"/>
      <c r="J39" s="6"/>
      <c r="K39" s="6"/>
      <c r="L39" s="6"/>
      <c r="M39" s="20"/>
      <c r="N39" s="6"/>
      <c r="O39" s="6"/>
      <c r="P39" s="6"/>
    </row>
    <row r="40" spans="1:17" x14ac:dyDescent="0.2">
      <c r="A40" s="3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7" x14ac:dyDescent="0.2">
      <c r="A41" s="6"/>
      <c r="B41" s="8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7" x14ac:dyDescent="0.2">
      <c r="A42" s="3"/>
      <c r="B42" s="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6"/>
      <c r="P42" s="6"/>
    </row>
    <row r="43" spans="1:17" x14ac:dyDescent="0.2">
      <c r="A43" s="3"/>
      <c r="B43" s="8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6"/>
      <c r="P43" s="6"/>
    </row>
    <row r="44" spans="1:17" x14ac:dyDescent="0.2">
      <c r="A44" s="3"/>
      <c r="B44" s="8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6"/>
      <c r="P44" s="6"/>
    </row>
    <row r="45" spans="1:17" x14ac:dyDescent="0.2">
      <c r="A45" s="6"/>
      <c r="B45" s="6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6"/>
      <c r="P45" s="6"/>
    </row>
    <row r="46" spans="1:17" x14ac:dyDescent="0.2">
      <c r="A46" s="3"/>
      <c r="B46" s="8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6"/>
      <c r="P46" s="6"/>
    </row>
    <row r="47" spans="1:17" x14ac:dyDescent="0.2">
      <c r="B47" s="8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6"/>
      <c r="P47" s="6"/>
    </row>
    <row r="48" spans="1:17" x14ac:dyDescent="0.2">
      <c r="B48" s="6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6"/>
      <c r="P48" s="6"/>
    </row>
    <row r="49" spans="2:16" x14ac:dyDescent="0.2">
      <c r="B49" s="8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6"/>
      <c r="P49" s="6"/>
    </row>
    <row r="50" spans="2:16" x14ac:dyDescent="0.2">
      <c r="B50" s="6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6"/>
      <c r="P50" s="6"/>
    </row>
    <row r="51" spans="2:16" x14ac:dyDescent="0.2">
      <c r="O51" s="6"/>
      <c r="P51" s="6"/>
    </row>
    <row r="52" spans="2:16" x14ac:dyDescent="0.2">
      <c r="B52" s="6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6"/>
      <c r="P52" s="6"/>
    </row>
    <row r="53" spans="2:16" x14ac:dyDescent="0.2"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6"/>
      <c r="P53" s="6"/>
    </row>
    <row r="54" spans="2:16" x14ac:dyDescent="0.2">
      <c r="O54" s="6"/>
      <c r="P54" s="6"/>
    </row>
    <row r="55" spans="2:16" x14ac:dyDescent="0.2">
      <c r="B55" s="6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6"/>
      <c r="P55" s="6"/>
    </row>
    <row r="56" spans="2:16" x14ac:dyDescent="0.2">
      <c r="B56" s="6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6"/>
      <c r="P56" s="6"/>
    </row>
    <row r="57" spans="2:16" x14ac:dyDescent="0.2">
      <c r="B57" s="6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6"/>
      <c r="P57" s="6"/>
    </row>
    <row r="58" spans="2:16" x14ac:dyDescent="0.2">
      <c r="B58" s="6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6"/>
      <c r="P58" s="6"/>
    </row>
    <row r="59" spans="2:16" x14ac:dyDescent="0.2">
      <c r="B59" s="6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6"/>
      <c r="P59" s="6"/>
    </row>
    <row r="60" spans="2:16" x14ac:dyDescent="0.2">
      <c r="B60" s="6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6"/>
      <c r="P60" s="6"/>
    </row>
    <row r="61" spans="2:16" x14ac:dyDescent="0.2">
      <c r="B61" s="6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6"/>
      <c r="P61" s="6"/>
    </row>
    <row r="62" spans="2:16" x14ac:dyDescent="0.2">
      <c r="B62" s="6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6"/>
      <c r="P62" s="6"/>
    </row>
    <row r="63" spans="2:16" x14ac:dyDescent="0.2">
      <c r="B63" s="8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6"/>
      <c r="P63" s="6"/>
    </row>
    <row r="64" spans="2:16" x14ac:dyDescent="0.2">
      <c r="B64" s="5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6"/>
      <c r="P64" s="6"/>
    </row>
    <row r="65" spans="1:16" x14ac:dyDescent="0.2">
      <c r="B65" s="8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6"/>
      <c r="P65" s="6"/>
    </row>
    <row r="67" spans="1:16" x14ac:dyDescent="0.2">
      <c r="A67" t="s">
        <v>214</v>
      </c>
    </row>
  </sheetData>
  <mergeCells count="6">
    <mergeCell ref="A37:A38"/>
    <mergeCell ref="A4:A10"/>
    <mergeCell ref="A11:A20"/>
    <mergeCell ref="A22:A24"/>
    <mergeCell ref="A26:A29"/>
    <mergeCell ref="A30:A32"/>
  </mergeCells>
  <phoneticPr fontId="18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F2A9-AABE-E14C-A2EF-8D7C093C2DF8}">
  <dimension ref="A1:O139"/>
  <sheetViews>
    <sheetView workbookViewId="0"/>
  </sheetViews>
  <sheetFormatPr baseColWidth="10" defaultColWidth="11" defaultRowHeight="16" x14ac:dyDescent="0.2"/>
  <cols>
    <col min="2" max="2" width="31.33203125" customWidth="1"/>
  </cols>
  <sheetData>
    <row r="1" spans="1:15" ht="22" x14ac:dyDescent="0.3">
      <c r="A1" s="37" t="s">
        <v>240</v>
      </c>
    </row>
    <row r="2" spans="1:15" ht="22" x14ac:dyDescent="0.3">
      <c r="A2" s="26"/>
    </row>
    <row r="3" spans="1:15" x14ac:dyDescent="0.2">
      <c r="A3" s="3" t="s">
        <v>0</v>
      </c>
      <c r="B3" s="3" t="s">
        <v>39</v>
      </c>
      <c r="C3" s="3" t="s">
        <v>92</v>
      </c>
      <c r="D3" s="3" t="s">
        <v>97</v>
      </c>
      <c r="E3" s="3" t="s">
        <v>102</v>
      </c>
      <c r="F3" s="3" t="s">
        <v>148</v>
      </c>
      <c r="G3" s="3" t="s">
        <v>109</v>
      </c>
      <c r="H3" s="3" t="s">
        <v>112</v>
      </c>
      <c r="I3" s="3" t="s">
        <v>116</v>
      </c>
      <c r="J3" s="3" t="s">
        <v>120</v>
      </c>
      <c r="K3" s="3" t="s">
        <v>162</v>
      </c>
      <c r="L3" s="3" t="s">
        <v>129</v>
      </c>
      <c r="M3" s="3" t="s">
        <v>167</v>
      </c>
      <c r="N3" s="3" t="s">
        <v>136</v>
      </c>
      <c r="O3" s="3" t="s">
        <v>14</v>
      </c>
    </row>
    <row r="4" spans="1:15" x14ac:dyDescent="0.2">
      <c r="A4" s="6" t="s">
        <v>185</v>
      </c>
      <c r="B4" s="6" t="s">
        <v>189</v>
      </c>
      <c r="C4" s="20">
        <v>8.7512699999999999E-2</v>
      </c>
      <c r="D4" s="20">
        <v>8.2235630000000004E-2</v>
      </c>
      <c r="E4" s="6">
        <v>0.88477923800000002</v>
      </c>
      <c r="F4" s="20">
        <v>0.42937350000000002</v>
      </c>
      <c r="G4" s="20">
        <v>0.37024430000000003</v>
      </c>
      <c r="H4" s="6">
        <v>0.17084956900000001</v>
      </c>
      <c r="I4" s="20">
        <v>0.1336522</v>
      </c>
      <c r="J4" s="6">
        <v>0.250663264</v>
      </c>
      <c r="K4" s="6">
        <v>0.24922878100000001</v>
      </c>
      <c r="L4" s="20">
        <v>0.30909540000000002</v>
      </c>
      <c r="M4" s="6">
        <v>0.52767996900000003</v>
      </c>
      <c r="N4" s="20">
        <v>0.1562791</v>
      </c>
      <c r="O4" s="33">
        <f>AVERAGE(C4:N4)</f>
        <v>0.30429947091666665</v>
      </c>
    </row>
    <row r="5" spans="1:15" x14ac:dyDescent="0.2">
      <c r="A5" s="6" t="s">
        <v>185</v>
      </c>
      <c r="B5" s="6" t="s">
        <v>190</v>
      </c>
      <c r="C5" s="20">
        <v>9.0485449999999999E-3</v>
      </c>
      <c r="D5" s="20">
        <v>2.4664120000000001E-2</v>
      </c>
      <c r="E5" s="6">
        <v>0</v>
      </c>
      <c r="F5" s="20">
        <v>4.0846449999999999E-2</v>
      </c>
      <c r="G5" s="20">
        <v>1.0483750000000001</v>
      </c>
      <c r="H5" s="6">
        <v>0.52438511600000004</v>
      </c>
      <c r="I5" s="20">
        <v>0.25590190000000002</v>
      </c>
      <c r="J5" s="6">
        <v>0</v>
      </c>
      <c r="K5" s="6">
        <v>0</v>
      </c>
      <c r="L5" s="20">
        <v>0</v>
      </c>
      <c r="M5" s="6">
        <v>0</v>
      </c>
      <c r="N5" s="20">
        <v>0</v>
      </c>
      <c r="O5" s="33">
        <f t="shared" ref="O5:O68" si="0">AVERAGE(C5:N5)</f>
        <v>0.15860176091666667</v>
      </c>
    </row>
    <row r="6" spans="1:15" x14ac:dyDescent="0.2">
      <c r="A6" s="6" t="s">
        <v>185</v>
      </c>
      <c r="B6" s="6" t="s">
        <v>191</v>
      </c>
      <c r="C6" s="20">
        <v>0</v>
      </c>
      <c r="D6" s="20">
        <v>5.5119209999999997E-4</v>
      </c>
      <c r="E6" s="6">
        <v>0</v>
      </c>
      <c r="F6" s="20">
        <v>1.9358609999999998E-2</v>
      </c>
      <c r="G6" s="20">
        <v>0</v>
      </c>
      <c r="H6" s="6">
        <v>0</v>
      </c>
      <c r="I6" s="20">
        <v>0</v>
      </c>
      <c r="J6" s="6">
        <v>8.0542083E-2</v>
      </c>
      <c r="K6" s="6">
        <v>1.2471586999999999E-2</v>
      </c>
      <c r="L6" s="20">
        <v>0</v>
      </c>
      <c r="M6" s="6">
        <v>0</v>
      </c>
      <c r="N6" s="20">
        <v>0</v>
      </c>
      <c r="O6" s="33">
        <f t="shared" si="0"/>
        <v>9.4102893416666677E-3</v>
      </c>
    </row>
    <row r="7" spans="1:15" x14ac:dyDescent="0.2">
      <c r="A7" s="6" t="s">
        <v>185</v>
      </c>
      <c r="B7" s="6" t="s">
        <v>188</v>
      </c>
      <c r="C7" s="20">
        <v>7.3915090000000003E-4</v>
      </c>
      <c r="D7" s="20">
        <v>6.0390899999999997E-2</v>
      </c>
      <c r="E7" s="6">
        <v>0.14288214299999999</v>
      </c>
      <c r="F7" s="20">
        <v>0.29755609999999999</v>
      </c>
      <c r="G7" s="20">
        <v>3.074414</v>
      </c>
      <c r="H7" s="6">
        <v>0.617723774</v>
      </c>
      <c r="I7" s="20">
        <v>0.17540249999999999</v>
      </c>
      <c r="J7" s="6">
        <v>1.4783019999999999E-3</v>
      </c>
      <c r="K7" s="6">
        <v>0</v>
      </c>
      <c r="L7" s="20">
        <v>0</v>
      </c>
      <c r="M7" s="6">
        <v>0</v>
      </c>
      <c r="N7" s="20">
        <v>0</v>
      </c>
      <c r="O7" s="33">
        <f t="shared" si="0"/>
        <v>0.36421557249166664</v>
      </c>
    </row>
    <row r="8" spans="1:15" x14ac:dyDescent="0.2">
      <c r="A8" s="6" t="s">
        <v>185</v>
      </c>
      <c r="B8" s="6" t="s">
        <v>227</v>
      </c>
      <c r="C8" s="20">
        <v>2.638457E-2</v>
      </c>
      <c r="D8" s="20">
        <v>7.0916979999999996E-3</v>
      </c>
      <c r="E8" s="6">
        <v>2.0788476E-2</v>
      </c>
      <c r="F8" s="20">
        <v>8.2638459999999997E-2</v>
      </c>
      <c r="G8" s="20">
        <v>1.6339159999999998E-2</v>
      </c>
      <c r="H8" s="6">
        <v>3.3553531999999997E-2</v>
      </c>
      <c r="I8" s="20">
        <v>5.1755940000000004E-3</v>
      </c>
      <c r="J8" s="6">
        <v>2.4951245E-2</v>
      </c>
      <c r="K8" s="6">
        <v>2.7524435999999999E-2</v>
      </c>
      <c r="L8" s="20">
        <v>5.6498920000000001E-2</v>
      </c>
      <c r="M8" s="6">
        <v>7.6388539999999996E-3</v>
      </c>
      <c r="N8" s="20">
        <v>4.8123220000000001E-2</v>
      </c>
      <c r="O8" s="33">
        <f t="shared" si="0"/>
        <v>2.9725680416666667E-2</v>
      </c>
    </row>
    <row r="9" spans="1:15" x14ac:dyDescent="0.2">
      <c r="A9" s="6" t="s">
        <v>36</v>
      </c>
      <c r="B9" s="6" t="s">
        <v>44</v>
      </c>
      <c r="C9" s="20">
        <v>0.45460780000000001</v>
      </c>
      <c r="D9" s="20">
        <v>0.60456049999999995</v>
      </c>
      <c r="E9" s="6">
        <v>3.4433940000000003E-2</v>
      </c>
      <c r="F9" s="20">
        <v>0.54624640000000002</v>
      </c>
      <c r="G9" s="20">
        <v>4.9633240000000002E-2</v>
      </c>
      <c r="H9" s="6">
        <v>3.8229808919999999</v>
      </c>
      <c r="I9" s="20">
        <v>5.9792439999999996</v>
      </c>
      <c r="J9" s="6">
        <v>5.7020274940000002</v>
      </c>
      <c r="K9" s="6">
        <v>12.133066333</v>
      </c>
      <c r="L9" s="20">
        <v>12.426130000000001</v>
      </c>
      <c r="M9" s="6">
        <v>0.71104475099999997</v>
      </c>
      <c r="N9" s="20">
        <v>2.4026350000000001</v>
      </c>
      <c r="O9" s="33">
        <f t="shared" si="0"/>
        <v>3.7388841958333336</v>
      </c>
    </row>
    <row r="10" spans="1:15" x14ac:dyDescent="0.2">
      <c r="A10" s="6" t="s">
        <v>36</v>
      </c>
      <c r="B10" s="6" t="s">
        <v>45</v>
      </c>
      <c r="C10" s="20">
        <v>2.1020270000000001</v>
      </c>
      <c r="D10" s="20">
        <v>1.0034050000000001</v>
      </c>
      <c r="E10" s="6">
        <v>2.7503679E-2</v>
      </c>
      <c r="F10" s="20">
        <v>0.42633270000000001</v>
      </c>
      <c r="G10" s="20">
        <v>4.1522759999999999E-2</v>
      </c>
      <c r="H10" s="6">
        <v>0.34321664600000001</v>
      </c>
      <c r="I10" s="20">
        <v>0.56585099999999999</v>
      </c>
      <c r="J10" s="6">
        <v>0.84445707400000003</v>
      </c>
      <c r="K10" s="6">
        <v>1.3911449069999999</v>
      </c>
      <c r="L10" s="20">
        <v>11.12223</v>
      </c>
      <c r="M10" s="6">
        <v>1.679706089</v>
      </c>
      <c r="N10" s="20">
        <v>3.6994989999999999</v>
      </c>
      <c r="O10" s="33">
        <f t="shared" si="0"/>
        <v>1.9372413212500001</v>
      </c>
    </row>
    <row r="11" spans="1:15" x14ac:dyDescent="0.2">
      <c r="A11" s="6" t="s">
        <v>36</v>
      </c>
      <c r="B11" s="6" t="s">
        <v>227</v>
      </c>
      <c r="C11" s="20">
        <v>2.7269649999999999</v>
      </c>
      <c r="D11" s="20">
        <v>1.5797950000000001</v>
      </c>
      <c r="E11" s="6">
        <v>0.30171483900000001</v>
      </c>
      <c r="F11" s="20">
        <v>1.225109</v>
      </c>
      <c r="G11" s="20">
        <v>0.51959719999999998</v>
      </c>
      <c r="H11" s="6">
        <v>5.5190263289999999</v>
      </c>
      <c r="I11" s="20">
        <v>4.7950939999999997</v>
      </c>
      <c r="J11" s="6">
        <v>3.9498457920000001</v>
      </c>
      <c r="K11" s="6">
        <v>3.899992117</v>
      </c>
      <c r="L11" s="20">
        <v>7.270276</v>
      </c>
      <c r="M11" s="6">
        <v>1.1583238929999999</v>
      </c>
      <c r="N11" s="20">
        <v>3.0030760000000001</v>
      </c>
      <c r="O11" s="33">
        <f t="shared" si="0"/>
        <v>2.9957345974999998</v>
      </c>
    </row>
    <row r="12" spans="1:15" x14ac:dyDescent="0.2">
      <c r="A12" s="6" t="s">
        <v>36</v>
      </c>
      <c r="B12" s="6" t="s">
        <v>46</v>
      </c>
      <c r="C12" s="20">
        <v>0.93200240000000001</v>
      </c>
      <c r="D12" s="20">
        <v>1.1061179999999999</v>
      </c>
      <c r="E12" s="6">
        <v>0.18088038200000001</v>
      </c>
      <c r="F12" s="20">
        <v>1.5441830000000001</v>
      </c>
      <c r="G12" s="20">
        <v>1.102452</v>
      </c>
      <c r="H12" s="6">
        <v>9.4226392479999994</v>
      </c>
      <c r="I12" s="20">
        <v>5.1964759999999997</v>
      </c>
      <c r="J12" s="6">
        <v>3.6147079149999999</v>
      </c>
      <c r="K12" s="6">
        <v>4.2313023989999996</v>
      </c>
      <c r="L12" s="20">
        <v>0.78576590000000002</v>
      </c>
      <c r="M12" s="6">
        <v>0.40044222699999998</v>
      </c>
      <c r="N12" s="20">
        <v>1.1153230000000001</v>
      </c>
      <c r="O12" s="33">
        <f t="shared" si="0"/>
        <v>2.4693577059166665</v>
      </c>
    </row>
    <row r="13" spans="1:15" x14ac:dyDescent="0.2">
      <c r="A13" s="6" t="s">
        <v>36</v>
      </c>
      <c r="B13" s="6" t="s">
        <v>47</v>
      </c>
      <c r="C13" s="20">
        <v>0.2677602</v>
      </c>
      <c r="D13" s="20">
        <v>0.33955160000000001</v>
      </c>
      <c r="E13" s="6">
        <v>0.36515036400000001</v>
      </c>
      <c r="F13" s="20">
        <v>1.451303</v>
      </c>
      <c r="G13" s="20">
        <v>0.90186500000000003</v>
      </c>
      <c r="H13" s="6">
        <v>1.31689291</v>
      </c>
      <c r="I13" s="20">
        <v>0.67765379999999997</v>
      </c>
      <c r="J13" s="6">
        <v>1.6099003359999999</v>
      </c>
      <c r="K13" s="6">
        <v>1.3701609770000001</v>
      </c>
      <c r="L13" s="20">
        <v>0.44689000000000001</v>
      </c>
      <c r="M13" s="6">
        <v>0.43817409499999999</v>
      </c>
      <c r="N13" s="20">
        <v>0.52762350000000002</v>
      </c>
      <c r="O13" s="33">
        <f t="shared" si="0"/>
        <v>0.80941048183333342</v>
      </c>
    </row>
    <row r="14" spans="1:15" x14ac:dyDescent="0.2">
      <c r="A14" s="6" t="s">
        <v>33</v>
      </c>
      <c r="B14" s="6" t="s">
        <v>54</v>
      </c>
      <c r="C14" s="20">
        <v>6.4401459999999994E-2</v>
      </c>
      <c r="D14" s="20">
        <v>6.270829E-2</v>
      </c>
      <c r="E14" s="6">
        <v>1.0767273000000001E-2</v>
      </c>
      <c r="F14" s="20">
        <v>3.2040060000000002E-2</v>
      </c>
      <c r="G14" s="20">
        <v>7.5644779999999999E-4</v>
      </c>
      <c r="H14" s="6">
        <v>8.8161910999999996E-2</v>
      </c>
      <c r="I14" s="20">
        <v>7.8715919999999995E-2</v>
      </c>
      <c r="J14" s="6">
        <v>5.9742460999999997E-2</v>
      </c>
      <c r="K14" s="6">
        <v>5.7755248000000002E-2</v>
      </c>
      <c r="L14" s="20">
        <v>9.8361270000000001E-3</v>
      </c>
      <c r="M14" s="6">
        <v>4.9353604000000002E-2</v>
      </c>
      <c r="N14" s="20">
        <v>5.2153770000000002E-2</v>
      </c>
      <c r="O14" s="33">
        <f t="shared" si="0"/>
        <v>4.7199380983333337E-2</v>
      </c>
    </row>
    <row r="15" spans="1:15" x14ac:dyDescent="0.2">
      <c r="A15" s="6" t="s">
        <v>33</v>
      </c>
      <c r="B15" s="6" t="s">
        <v>227</v>
      </c>
      <c r="C15" s="20">
        <v>0.50484549999999995</v>
      </c>
      <c r="D15" s="20">
        <v>0.48176960000000002</v>
      </c>
      <c r="E15" s="6">
        <v>2.3790628000000001E-2</v>
      </c>
      <c r="F15" s="20">
        <v>0.26582509999999998</v>
      </c>
      <c r="G15" s="20">
        <v>9.1846129999999995E-3</v>
      </c>
      <c r="H15" s="6">
        <v>1.5686631710000001</v>
      </c>
      <c r="I15" s="20">
        <v>1.0918099999999999</v>
      </c>
      <c r="J15" s="6">
        <v>0.84683327399999997</v>
      </c>
      <c r="K15" s="6">
        <v>1.684341061</v>
      </c>
      <c r="L15" s="20">
        <v>0.41342289999999998</v>
      </c>
      <c r="M15" s="6">
        <v>0.273911925</v>
      </c>
      <c r="N15" s="20">
        <v>0.55321200000000004</v>
      </c>
      <c r="O15" s="33">
        <f t="shared" si="0"/>
        <v>0.64313414766666666</v>
      </c>
    </row>
    <row r="16" spans="1:15" x14ac:dyDescent="0.2">
      <c r="A16" s="6" t="s">
        <v>33</v>
      </c>
      <c r="B16" s="6" t="s">
        <v>46</v>
      </c>
      <c r="C16" s="20">
        <v>0.1696722</v>
      </c>
      <c r="D16" s="20">
        <v>0.1642576</v>
      </c>
      <c r="E16" s="6">
        <v>2.3373769999999999E-3</v>
      </c>
      <c r="F16" s="20">
        <v>8.6925760000000005E-2</v>
      </c>
      <c r="G16" s="20">
        <v>3.9396400000000003E-3</v>
      </c>
      <c r="H16" s="6">
        <v>0.94508499800000001</v>
      </c>
      <c r="I16" s="20">
        <v>0.41554429999999998</v>
      </c>
      <c r="J16" s="6">
        <v>0.10986212200000001</v>
      </c>
      <c r="K16" s="6">
        <v>9.1411407E-2</v>
      </c>
      <c r="L16" s="20">
        <v>1.601686E-3</v>
      </c>
      <c r="M16" s="6">
        <v>2.6554660000000001E-2</v>
      </c>
      <c r="N16" s="20">
        <v>9.754525E-2</v>
      </c>
      <c r="O16" s="33">
        <f t="shared" si="0"/>
        <v>0.17622808333333337</v>
      </c>
    </row>
    <row r="17" spans="1:15" x14ac:dyDescent="0.2">
      <c r="A17" s="6" t="s">
        <v>33</v>
      </c>
      <c r="B17" s="6" t="s">
        <v>58</v>
      </c>
      <c r="C17" s="20">
        <v>0.18328829999999999</v>
      </c>
      <c r="D17" s="20">
        <v>0.41073539999999997</v>
      </c>
      <c r="E17" s="6">
        <v>4.2593429000000002E-2</v>
      </c>
      <c r="F17" s="20">
        <v>0.31340170000000001</v>
      </c>
      <c r="G17" s="20">
        <v>8.7694900000000002E-4</v>
      </c>
      <c r="H17" s="6">
        <v>0.29096832299999997</v>
      </c>
      <c r="I17" s="20">
        <v>0.33478079999999999</v>
      </c>
      <c r="J17" s="6">
        <v>0.162283029</v>
      </c>
      <c r="K17" s="6">
        <v>0.94032452799999999</v>
      </c>
      <c r="L17" s="20">
        <v>5.4952010000000003E-2</v>
      </c>
      <c r="M17" s="6">
        <v>8.5211072999999998E-2</v>
      </c>
      <c r="N17" s="20">
        <v>0.19675790000000001</v>
      </c>
      <c r="O17" s="33">
        <f t="shared" si="0"/>
        <v>0.25134778674999997</v>
      </c>
    </row>
    <row r="18" spans="1:15" x14ac:dyDescent="0.2">
      <c r="A18" s="6" t="s">
        <v>33</v>
      </c>
      <c r="B18" s="6" t="s">
        <v>63</v>
      </c>
      <c r="C18" s="20">
        <v>0</v>
      </c>
      <c r="D18" s="20">
        <v>9.6439400000000004E-4</v>
      </c>
      <c r="E18" s="6">
        <v>0</v>
      </c>
      <c r="F18" s="20">
        <v>0</v>
      </c>
      <c r="G18" s="20">
        <v>0</v>
      </c>
      <c r="H18" s="6">
        <v>2.0723900999999999E-2</v>
      </c>
      <c r="I18" s="20">
        <v>1.468001E-2</v>
      </c>
      <c r="J18" s="6">
        <v>2.8735406000000002E-2</v>
      </c>
      <c r="K18" s="6">
        <v>0.120457964</v>
      </c>
      <c r="L18" s="20">
        <v>2.1269330000000001E-3</v>
      </c>
      <c r="M18" s="6">
        <v>1.1042869E-2</v>
      </c>
      <c r="N18" s="20">
        <v>3.6015060000000002E-2</v>
      </c>
      <c r="O18" s="33">
        <f t="shared" si="0"/>
        <v>1.9562211416666669E-2</v>
      </c>
    </row>
    <row r="19" spans="1:15" x14ac:dyDescent="0.2">
      <c r="A19" s="6" t="s">
        <v>182</v>
      </c>
      <c r="B19" s="6" t="s">
        <v>189</v>
      </c>
      <c r="C19" s="20">
        <v>0.11410140000000001</v>
      </c>
      <c r="D19" s="20">
        <v>0.1024468</v>
      </c>
      <c r="E19" s="6">
        <v>0.434324398</v>
      </c>
      <c r="F19" s="20">
        <v>0.4563894</v>
      </c>
      <c r="G19" s="20">
        <v>0.2319002</v>
      </c>
      <c r="H19" s="6">
        <v>3.7974215999999998E-2</v>
      </c>
      <c r="I19" s="20">
        <v>0.14681930000000001</v>
      </c>
      <c r="J19" s="6">
        <v>0.53988806700000003</v>
      </c>
      <c r="K19" s="6">
        <v>0.27036434599999998</v>
      </c>
      <c r="L19" s="20">
        <v>0.1153208</v>
      </c>
      <c r="M19" s="6">
        <v>0.65738020200000002</v>
      </c>
      <c r="N19" s="20">
        <v>0.19170190000000001</v>
      </c>
      <c r="O19" s="33">
        <f t="shared" si="0"/>
        <v>0.2748842524166667</v>
      </c>
    </row>
    <row r="20" spans="1:15" x14ac:dyDescent="0.2">
      <c r="A20" s="6" t="s">
        <v>182</v>
      </c>
      <c r="B20" s="6" t="s">
        <v>190</v>
      </c>
      <c r="C20" s="20">
        <v>0.1228959</v>
      </c>
      <c r="D20" s="20">
        <v>0.2904294</v>
      </c>
      <c r="E20" s="6">
        <v>0.14798931800000001</v>
      </c>
      <c r="F20" s="20">
        <v>0.34242869999999997</v>
      </c>
      <c r="G20" s="20">
        <v>0.53477169999999996</v>
      </c>
      <c r="H20" s="6">
        <v>0.345470999</v>
      </c>
      <c r="I20" s="20">
        <v>0.1768769</v>
      </c>
      <c r="J20" s="6">
        <v>0</v>
      </c>
      <c r="K20" s="6">
        <v>3.4524460000000001E-3</v>
      </c>
      <c r="L20" s="20">
        <v>6.8610729999999995E-2</v>
      </c>
      <c r="M20" s="6">
        <v>8.2846020000000003E-3</v>
      </c>
      <c r="N20" s="20">
        <v>6.6381369999999999E-4</v>
      </c>
      <c r="O20" s="33">
        <f t="shared" si="0"/>
        <v>0.17015620905833331</v>
      </c>
    </row>
    <row r="21" spans="1:15" x14ac:dyDescent="0.2">
      <c r="A21" s="6" t="s">
        <v>182</v>
      </c>
      <c r="B21" s="6" t="s">
        <v>194</v>
      </c>
      <c r="C21" s="20">
        <v>0.19699050000000001</v>
      </c>
      <c r="D21" s="20">
        <v>0.27078020000000003</v>
      </c>
      <c r="E21" s="6">
        <v>0.348117605</v>
      </c>
      <c r="F21" s="20">
        <v>7.8639429999999996E-2</v>
      </c>
      <c r="G21" s="20">
        <v>2.5068859999999998E-3</v>
      </c>
      <c r="H21" s="6">
        <v>0.217215819</v>
      </c>
      <c r="I21" s="20">
        <v>3.0507749999999999E-3</v>
      </c>
      <c r="J21" s="6">
        <v>1.9587692E-2</v>
      </c>
      <c r="K21" s="6">
        <v>0.18818252399999999</v>
      </c>
      <c r="L21" s="20">
        <v>3.4063209999999999E-3</v>
      </c>
      <c r="M21" s="6">
        <v>6.4797937999999999E-2</v>
      </c>
      <c r="N21" s="20">
        <v>1.1256E-2</v>
      </c>
      <c r="O21" s="33">
        <f t="shared" si="0"/>
        <v>0.11704430749999999</v>
      </c>
    </row>
    <row r="22" spans="1:15" x14ac:dyDescent="0.2">
      <c r="A22" s="6" t="s">
        <v>182</v>
      </c>
      <c r="B22" s="6" t="s">
        <v>195</v>
      </c>
      <c r="C22" s="20">
        <v>7.4751880000000007E-2</v>
      </c>
      <c r="D22" s="20">
        <v>3.891555E-2</v>
      </c>
      <c r="E22" s="6">
        <v>0.48137233600000001</v>
      </c>
      <c r="F22" s="20">
        <v>4.149912E-2</v>
      </c>
      <c r="G22" s="20">
        <v>3.2120199999999999E-3</v>
      </c>
      <c r="H22" s="6">
        <v>1.070866E-3</v>
      </c>
      <c r="I22" s="20">
        <v>1.070866E-3</v>
      </c>
      <c r="J22" s="6">
        <v>0</v>
      </c>
      <c r="K22" s="6">
        <v>1.6062979999999999E-3</v>
      </c>
      <c r="L22" s="20">
        <v>3.5689110000000001E-3</v>
      </c>
      <c r="M22" s="6">
        <v>1.9591539999999998E-3</v>
      </c>
      <c r="N22" s="20">
        <v>7.9123360000000007E-3</v>
      </c>
      <c r="O22" s="33">
        <f t="shared" si="0"/>
        <v>5.4744944749999989E-2</v>
      </c>
    </row>
    <row r="23" spans="1:15" x14ac:dyDescent="0.2">
      <c r="A23" s="6" t="s">
        <v>182</v>
      </c>
      <c r="B23" s="6" t="s">
        <v>191</v>
      </c>
      <c r="C23" s="20">
        <v>1.6285920000000001E-3</v>
      </c>
      <c r="D23" s="20">
        <v>5.1885470000000003E-2</v>
      </c>
      <c r="E23" s="6">
        <v>1.9400118000000001E-2</v>
      </c>
      <c r="F23" s="20">
        <v>0.13798479999999999</v>
      </c>
      <c r="G23" s="20">
        <v>4.9644189999999998E-2</v>
      </c>
      <c r="H23" s="6">
        <v>3.0119539999999998E-3</v>
      </c>
      <c r="I23" s="20">
        <v>1.3736750000000001E-2</v>
      </c>
      <c r="J23" s="6">
        <v>0.12177655799999999</v>
      </c>
      <c r="K23" s="6">
        <v>6.5237276999999996E-2</v>
      </c>
      <c r="L23" s="20">
        <v>0</v>
      </c>
      <c r="M23" s="6">
        <v>1.4857970000000001E-3</v>
      </c>
      <c r="N23" s="20">
        <v>0</v>
      </c>
      <c r="O23" s="33">
        <f t="shared" si="0"/>
        <v>3.8815958833333331E-2</v>
      </c>
    </row>
    <row r="24" spans="1:15" x14ac:dyDescent="0.2">
      <c r="A24" s="6" t="s">
        <v>182</v>
      </c>
      <c r="B24" s="6" t="s">
        <v>188</v>
      </c>
      <c r="C24" s="20">
        <v>2.7707209999999999E-2</v>
      </c>
      <c r="D24" s="20">
        <v>6.4651680000000003E-2</v>
      </c>
      <c r="E24" s="6">
        <v>0.141629852</v>
      </c>
      <c r="F24" s="20">
        <v>7.5625750000000005E-2</v>
      </c>
      <c r="G24" s="20">
        <v>4.697817E-3</v>
      </c>
      <c r="H24" s="6">
        <v>2.3242319000000001E-2</v>
      </c>
      <c r="I24" s="20">
        <v>3.5343179999999998E-3</v>
      </c>
      <c r="J24" s="6">
        <v>6.3702280000000003E-3</v>
      </c>
      <c r="K24" s="6">
        <v>7.0437279000000005E-2</v>
      </c>
      <c r="L24" s="20">
        <v>0</v>
      </c>
      <c r="M24" s="6">
        <v>4.1168746999999999E-2</v>
      </c>
      <c r="N24" s="20">
        <v>1.0735949999999999E-2</v>
      </c>
      <c r="O24" s="33">
        <f t="shared" si="0"/>
        <v>3.9150095833333336E-2</v>
      </c>
    </row>
    <row r="25" spans="1:15" x14ac:dyDescent="0.2">
      <c r="A25" s="6" t="s">
        <v>182</v>
      </c>
      <c r="B25" s="6" t="s">
        <v>196</v>
      </c>
      <c r="C25" s="20">
        <v>0</v>
      </c>
      <c r="D25" s="20">
        <v>0</v>
      </c>
      <c r="E25" s="6">
        <v>0</v>
      </c>
      <c r="F25" s="20">
        <v>9.0635360000000003E-4</v>
      </c>
      <c r="G25" s="20">
        <v>0</v>
      </c>
      <c r="H25" s="6">
        <v>2.0836909999999999E-3</v>
      </c>
      <c r="I25" s="20">
        <v>0</v>
      </c>
      <c r="J25" s="6">
        <v>1.2050121E-2</v>
      </c>
      <c r="K25" s="6">
        <v>1.2375301E-2</v>
      </c>
      <c r="L25" s="20">
        <v>4.3646810000000001E-2</v>
      </c>
      <c r="M25" s="6">
        <v>0.30108177600000002</v>
      </c>
      <c r="N25" s="20">
        <v>8.3727010000000004E-2</v>
      </c>
      <c r="O25" s="33">
        <f t="shared" si="0"/>
        <v>3.798925521666667E-2</v>
      </c>
    </row>
    <row r="26" spans="1:15" x14ac:dyDescent="0.2">
      <c r="A26" s="6" t="s">
        <v>182</v>
      </c>
      <c r="B26" s="6" t="s">
        <v>197</v>
      </c>
      <c r="C26" s="20">
        <v>2.8723869999999999E-2</v>
      </c>
      <c r="D26" s="20">
        <v>1.9058019999999998E-2</v>
      </c>
      <c r="E26" s="6">
        <v>6.8662048000000003E-2</v>
      </c>
      <c r="F26" s="20">
        <v>8.3372420000000003E-2</v>
      </c>
      <c r="G26" s="20">
        <v>2.722635E-2</v>
      </c>
      <c r="H26" s="6">
        <v>1.0672909E-2</v>
      </c>
      <c r="I26" s="20">
        <v>3.0428190000000001E-2</v>
      </c>
      <c r="J26" s="6">
        <v>5.8261467999999997E-2</v>
      </c>
      <c r="K26" s="6">
        <v>1.6152350999999999E-2</v>
      </c>
      <c r="L26" s="20">
        <v>0</v>
      </c>
      <c r="M26" s="6">
        <v>3.1163110000000001E-3</v>
      </c>
      <c r="N26" s="20">
        <v>0</v>
      </c>
      <c r="O26" s="33">
        <f t="shared" si="0"/>
        <v>2.8806161416666667E-2</v>
      </c>
    </row>
    <row r="27" spans="1:15" x14ac:dyDescent="0.2">
      <c r="A27" s="6" t="s">
        <v>182</v>
      </c>
      <c r="B27" s="6" t="s">
        <v>198</v>
      </c>
      <c r="C27" s="20">
        <v>4.9474299999999999E-2</v>
      </c>
      <c r="D27" s="20">
        <v>3.6196489999999998E-2</v>
      </c>
      <c r="E27" s="6">
        <v>5.9852780000000001E-3</v>
      </c>
      <c r="F27" s="20">
        <v>3.3497029999999997E-2</v>
      </c>
      <c r="G27" s="20">
        <v>1.3504779999999999E-2</v>
      </c>
      <c r="H27" s="6">
        <v>2.4669883E-2</v>
      </c>
      <c r="I27" s="20">
        <v>1.140476E-2</v>
      </c>
      <c r="J27" s="6">
        <v>2.8108491999999999E-2</v>
      </c>
      <c r="K27" s="6">
        <v>3.150328E-3</v>
      </c>
      <c r="L27" s="20">
        <v>0</v>
      </c>
      <c r="M27" s="6">
        <v>1.6146585000000001E-2</v>
      </c>
      <c r="N27" s="20">
        <v>6.2610269999999996E-2</v>
      </c>
      <c r="O27" s="33">
        <f t="shared" si="0"/>
        <v>2.3729016333333328E-2</v>
      </c>
    </row>
    <row r="28" spans="1:15" x14ac:dyDescent="0.2">
      <c r="A28" s="6" t="s">
        <v>182</v>
      </c>
      <c r="B28" s="6" t="s">
        <v>193</v>
      </c>
      <c r="C28" s="20">
        <v>3.2623350000000002E-2</v>
      </c>
      <c r="D28" s="20">
        <v>9.4948029999999996E-3</v>
      </c>
      <c r="E28" s="6">
        <v>0.20459086800000001</v>
      </c>
      <c r="F28" s="20">
        <v>1.9019009999999999E-2</v>
      </c>
      <c r="G28" s="20">
        <v>1.8225089999999999E-3</v>
      </c>
      <c r="H28" s="6">
        <v>5.0268409999999998E-3</v>
      </c>
      <c r="I28" s="20">
        <v>1.10469E-3</v>
      </c>
      <c r="J28" s="6">
        <v>0</v>
      </c>
      <c r="K28" s="6">
        <v>5.7707970000000003E-3</v>
      </c>
      <c r="L28" s="20">
        <v>2.814885E-2</v>
      </c>
      <c r="M28" s="6">
        <v>3.1119869000000001E-2</v>
      </c>
      <c r="N28" s="20">
        <v>1.282348E-2</v>
      </c>
      <c r="O28" s="33">
        <f t="shared" si="0"/>
        <v>2.9295422250000005E-2</v>
      </c>
    </row>
    <row r="29" spans="1:15" x14ac:dyDescent="0.2">
      <c r="A29" s="6" t="s">
        <v>182</v>
      </c>
      <c r="B29" s="6" t="s">
        <v>199</v>
      </c>
      <c r="C29" s="20">
        <v>0</v>
      </c>
      <c r="D29" s="20">
        <v>1.6525769999999999E-2</v>
      </c>
      <c r="E29" s="6">
        <v>0.12963623499999999</v>
      </c>
      <c r="F29" s="20">
        <v>4.6326659999999999E-2</v>
      </c>
      <c r="G29" s="20">
        <v>0</v>
      </c>
      <c r="H29" s="6">
        <v>0</v>
      </c>
      <c r="I29" s="20">
        <v>1.0424220000000001E-3</v>
      </c>
      <c r="J29" s="6">
        <v>4.6036460000000003E-3</v>
      </c>
      <c r="K29" s="6">
        <v>0</v>
      </c>
      <c r="L29" s="20">
        <v>0</v>
      </c>
      <c r="M29" s="6">
        <v>0</v>
      </c>
      <c r="N29" s="20">
        <v>0</v>
      </c>
      <c r="O29" s="33">
        <f t="shared" si="0"/>
        <v>1.6511227749999996E-2</v>
      </c>
    </row>
    <row r="30" spans="1:15" x14ac:dyDescent="0.2">
      <c r="A30" s="6" t="s">
        <v>182</v>
      </c>
      <c r="B30" s="6" t="s">
        <v>192</v>
      </c>
      <c r="C30" s="20">
        <v>2.5061179999999999E-3</v>
      </c>
      <c r="D30" s="20">
        <v>4.100116E-3</v>
      </c>
      <c r="E30" s="6">
        <v>2.4190184999999999E-2</v>
      </c>
      <c r="F30" s="20">
        <v>1.0216080000000001E-2</v>
      </c>
      <c r="G30" s="20">
        <v>0</v>
      </c>
      <c r="H30" s="6">
        <v>2.0330302000000001E-2</v>
      </c>
      <c r="I30" s="20">
        <v>8.1706350000000007E-3</v>
      </c>
      <c r="J30" s="6">
        <v>5.4623370000000003E-3</v>
      </c>
      <c r="K30" s="6">
        <v>3.4435670000000002E-2</v>
      </c>
      <c r="L30" s="20">
        <v>0</v>
      </c>
      <c r="M30" s="6">
        <v>3.0009989999999999E-3</v>
      </c>
      <c r="N30" s="20">
        <v>2.247818E-3</v>
      </c>
      <c r="O30" s="33">
        <f t="shared" si="0"/>
        <v>9.5550216666666667E-3</v>
      </c>
    </row>
    <row r="31" spans="1:15" x14ac:dyDescent="0.2">
      <c r="A31" s="6" t="s">
        <v>182</v>
      </c>
      <c r="B31" s="6" t="s">
        <v>200</v>
      </c>
      <c r="C31" s="20">
        <v>0</v>
      </c>
      <c r="D31" s="20">
        <v>0</v>
      </c>
      <c r="E31" s="6">
        <v>0</v>
      </c>
      <c r="F31" s="20">
        <v>0</v>
      </c>
      <c r="G31" s="20">
        <v>6.8936490000000003E-2</v>
      </c>
      <c r="H31" s="6">
        <v>2.8558977999999999E-2</v>
      </c>
      <c r="I31" s="20">
        <v>0</v>
      </c>
      <c r="J31" s="6">
        <v>0</v>
      </c>
      <c r="K31" s="6">
        <v>0</v>
      </c>
      <c r="L31" s="20">
        <v>0</v>
      </c>
      <c r="M31" s="6">
        <v>0</v>
      </c>
      <c r="N31" s="20">
        <v>0</v>
      </c>
      <c r="O31" s="33">
        <f t="shared" si="0"/>
        <v>8.1246223333333329E-3</v>
      </c>
    </row>
    <row r="32" spans="1:15" x14ac:dyDescent="0.2">
      <c r="A32" s="6" t="s">
        <v>182</v>
      </c>
      <c r="B32" s="6" t="s">
        <v>217</v>
      </c>
      <c r="C32" s="20">
        <v>0</v>
      </c>
      <c r="D32" s="20">
        <v>0</v>
      </c>
      <c r="E32" s="6">
        <v>5.7143516999999998E-2</v>
      </c>
      <c r="F32" s="20">
        <v>6.4061669999999999E-3</v>
      </c>
      <c r="G32" s="20">
        <v>0</v>
      </c>
      <c r="H32" s="6">
        <v>1.262284E-3</v>
      </c>
      <c r="I32" s="20">
        <v>0</v>
      </c>
      <c r="J32" s="6">
        <v>0</v>
      </c>
      <c r="K32" s="6">
        <v>0</v>
      </c>
      <c r="L32" s="20">
        <v>0</v>
      </c>
      <c r="M32" s="6">
        <v>2.5525499E-2</v>
      </c>
      <c r="N32" s="20">
        <v>8.3993379999999992E-3</v>
      </c>
      <c r="O32" s="33">
        <f t="shared" si="0"/>
        <v>8.2280670833333337E-3</v>
      </c>
    </row>
    <row r="33" spans="1:15" x14ac:dyDescent="0.2">
      <c r="A33" s="6" t="s">
        <v>182</v>
      </c>
      <c r="B33" s="6" t="s">
        <v>229</v>
      </c>
      <c r="C33" s="20">
        <v>1.925559E-2</v>
      </c>
      <c r="D33" s="20">
        <v>9.8680299999999999E-3</v>
      </c>
      <c r="E33" s="6">
        <v>8.7371446000000005E-2</v>
      </c>
      <c r="F33" s="20">
        <v>5.3907860000000002E-2</v>
      </c>
      <c r="G33" s="20">
        <v>0</v>
      </c>
      <c r="H33" s="6">
        <v>3.3544307000000002E-2</v>
      </c>
      <c r="I33" s="20">
        <v>3.7660950000000001E-3</v>
      </c>
      <c r="J33" s="6">
        <v>8.0673154999999996E-2</v>
      </c>
      <c r="K33" s="6">
        <v>0.15996967500000001</v>
      </c>
      <c r="L33" s="20">
        <v>7.2675489999999999E-3</v>
      </c>
      <c r="M33" s="6">
        <v>9.7642300000000001E-2</v>
      </c>
      <c r="N33" s="20">
        <v>9.3301759999999997E-2</v>
      </c>
      <c r="O33" s="33">
        <f t="shared" si="0"/>
        <v>5.3880647250000004E-2</v>
      </c>
    </row>
    <row r="34" spans="1:15" x14ac:dyDescent="0.2">
      <c r="A34" s="6" t="s">
        <v>183</v>
      </c>
      <c r="B34" s="6" t="s">
        <v>188</v>
      </c>
      <c r="C34" s="20">
        <v>3.6908730000000001E-2</v>
      </c>
      <c r="D34" s="20">
        <v>2.9073269999999998E-2</v>
      </c>
      <c r="E34" s="6">
        <v>2.2699199999999999E-3</v>
      </c>
      <c r="F34" s="20">
        <v>2.1258369999999999E-2</v>
      </c>
      <c r="G34" s="20">
        <v>1.634319E-2</v>
      </c>
      <c r="H34" s="6">
        <v>3.6507828999999999E-2</v>
      </c>
      <c r="I34" s="20">
        <v>5.124857E-3</v>
      </c>
      <c r="J34" s="6">
        <v>3.4221957999999997E-2</v>
      </c>
      <c r="K34" s="6">
        <v>3.6882593999999998E-2</v>
      </c>
      <c r="L34" s="20">
        <v>0.1182474</v>
      </c>
      <c r="M34" s="6">
        <v>0.111676943</v>
      </c>
      <c r="N34" s="20">
        <v>3.3186449999999999E-2</v>
      </c>
      <c r="O34" s="33">
        <f t="shared" si="0"/>
        <v>4.0141792583333329E-2</v>
      </c>
    </row>
    <row r="35" spans="1:15" x14ac:dyDescent="0.2">
      <c r="A35" s="6" t="s">
        <v>183</v>
      </c>
      <c r="B35" s="6" t="s">
        <v>201</v>
      </c>
      <c r="C35" s="20">
        <v>0.14377390000000001</v>
      </c>
      <c r="D35" s="20">
        <v>0.17600170000000001</v>
      </c>
      <c r="E35" s="6">
        <v>2.6155103999999998E-2</v>
      </c>
      <c r="F35" s="20">
        <v>2.422708E-3</v>
      </c>
      <c r="G35" s="20">
        <v>0</v>
      </c>
      <c r="H35" s="6">
        <v>0.13350572699999999</v>
      </c>
      <c r="I35" s="20">
        <v>0.15767049999999999</v>
      </c>
      <c r="J35" s="6">
        <v>1.8307343E-2</v>
      </c>
      <c r="K35" s="6">
        <v>8.4920486000000003E-2</v>
      </c>
      <c r="L35" s="20">
        <v>0</v>
      </c>
      <c r="M35" s="6">
        <v>1.4353481E-2</v>
      </c>
      <c r="N35" s="20">
        <v>9.2201679999999994E-2</v>
      </c>
      <c r="O35" s="33">
        <f t="shared" si="0"/>
        <v>7.0776052416666665E-2</v>
      </c>
    </row>
    <row r="36" spans="1:15" x14ac:dyDescent="0.2">
      <c r="A36" s="6" t="s">
        <v>183</v>
      </c>
      <c r="B36" s="6" t="s">
        <v>202</v>
      </c>
      <c r="C36" s="20">
        <v>3.1152349999999999E-2</v>
      </c>
      <c r="D36" s="20">
        <v>0.1142209</v>
      </c>
      <c r="E36" s="6">
        <v>1.7959869E-2</v>
      </c>
      <c r="F36" s="20">
        <v>7.5529459999999996E-3</v>
      </c>
      <c r="G36" s="20">
        <v>0</v>
      </c>
      <c r="H36" s="6">
        <v>1.5469894999999999E-2</v>
      </c>
      <c r="I36" s="20">
        <v>0.17659369999999999</v>
      </c>
      <c r="J36" s="6">
        <v>5.9950021999999999E-2</v>
      </c>
      <c r="K36" s="6">
        <v>0.233058557</v>
      </c>
      <c r="L36" s="20">
        <v>0</v>
      </c>
      <c r="M36" s="6">
        <v>0</v>
      </c>
      <c r="N36" s="20">
        <v>1.112839E-2</v>
      </c>
      <c r="O36" s="33">
        <f t="shared" si="0"/>
        <v>5.5590552416666668E-2</v>
      </c>
    </row>
    <row r="37" spans="1:15" x14ac:dyDescent="0.2">
      <c r="A37" s="6" t="s">
        <v>183</v>
      </c>
      <c r="B37" s="6" t="s">
        <v>203</v>
      </c>
      <c r="C37" s="20">
        <v>4.6790600000000002E-2</v>
      </c>
      <c r="D37" s="20">
        <v>0.12048200000000001</v>
      </c>
      <c r="E37" s="6">
        <v>0</v>
      </c>
      <c r="F37" s="20">
        <v>9.0635360000000005E-3</v>
      </c>
      <c r="G37" s="20">
        <v>0</v>
      </c>
      <c r="H37" s="6">
        <v>3.1846911999999998E-2</v>
      </c>
      <c r="I37" s="20">
        <v>4.386321E-2</v>
      </c>
      <c r="J37" s="6">
        <v>6.1949539999999999E-3</v>
      </c>
      <c r="K37" s="6">
        <v>2.446924E-2</v>
      </c>
      <c r="L37" s="20">
        <v>0</v>
      </c>
      <c r="M37" s="6">
        <v>0</v>
      </c>
      <c r="N37" s="20">
        <v>6.1276880000000001E-3</v>
      </c>
      <c r="O37" s="33">
        <f t="shared" si="0"/>
        <v>2.4069845000000003E-2</v>
      </c>
    </row>
    <row r="38" spans="1:15" x14ac:dyDescent="0.2">
      <c r="A38" s="6" t="s">
        <v>183</v>
      </c>
      <c r="B38" s="6" t="s">
        <v>204</v>
      </c>
      <c r="C38" s="20">
        <v>6.6220310000000004E-2</v>
      </c>
      <c r="D38" s="20">
        <v>7.7751529999999999E-2</v>
      </c>
      <c r="E38" s="6">
        <v>2.3622849000000001E-2</v>
      </c>
      <c r="F38" s="20">
        <v>7.0029070000000001E-3</v>
      </c>
      <c r="G38" s="20">
        <v>3.7476450000000001E-2</v>
      </c>
      <c r="H38" s="6">
        <v>0</v>
      </c>
      <c r="I38" s="20">
        <v>8.8494390000000006E-3</v>
      </c>
      <c r="J38" s="6">
        <v>2.2512779999999998E-3</v>
      </c>
      <c r="K38" s="6">
        <v>0</v>
      </c>
      <c r="L38" s="20">
        <v>6.1234789999999997E-2</v>
      </c>
      <c r="M38" s="6">
        <v>0</v>
      </c>
      <c r="N38" s="20">
        <v>2.213917E-2</v>
      </c>
      <c r="O38" s="33">
        <f t="shared" si="0"/>
        <v>2.5545726916666667E-2</v>
      </c>
    </row>
    <row r="39" spans="1:15" x14ac:dyDescent="0.2">
      <c r="A39" s="6" t="s">
        <v>183</v>
      </c>
      <c r="B39" s="6" t="s">
        <v>205</v>
      </c>
      <c r="C39" s="20">
        <v>7.3050249999999997E-3</v>
      </c>
      <c r="D39" s="20">
        <v>2.4142139999999999E-2</v>
      </c>
      <c r="E39" s="6">
        <v>5.1691557999999999E-2</v>
      </c>
      <c r="F39" s="20">
        <v>2.5479370000000001E-2</v>
      </c>
      <c r="G39" s="20">
        <v>0.10571419999999999</v>
      </c>
      <c r="H39" s="6">
        <v>2.32354E-2</v>
      </c>
      <c r="I39" s="20">
        <v>4.9841759999999999E-3</v>
      </c>
      <c r="J39" s="6">
        <v>1.0665605999999999E-2</v>
      </c>
      <c r="K39" s="6">
        <v>1.8091901000000001E-2</v>
      </c>
      <c r="L39" s="20">
        <v>4.4533560000000003E-3</v>
      </c>
      <c r="M39" s="6">
        <v>2.8542642E-2</v>
      </c>
      <c r="N39" s="20">
        <v>1.2471009999999999E-2</v>
      </c>
      <c r="O39" s="33">
        <f t="shared" si="0"/>
        <v>2.6398032000000005E-2</v>
      </c>
    </row>
    <row r="40" spans="1:15" x14ac:dyDescent="0.2">
      <c r="A40" s="6" t="s">
        <v>183</v>
      </c>
      <c r="B40" s="6" t="s">
        <v>206</v>
      </c>
      <c r="C40" s="20">
        <v>0</v>
      </c>
      <c r="D40" s="20">
        <v>0</v>
      </c>
      <c r="E40" s="6">
        <v>0</v>
      </c>
      <c r="F40" s="20">
        <v>0</v>
      </c>
      <c r="G40" s="20">
        <v>0</v>
      </c>
      <c r="H40" s="6">
        <v>0</v>
      </c>
      <c r="I40" s="20">
        <v>0</v>
      </c>
      <c r="J40" s="6">
        <v>0</v>
      </c>
      <c r="K40" s="6">
        <v>0</v>
      </c>
      <c r="L40" s="20">
        <v>0</v>
      </c>
      <c r="M40" s="6">
        <v>0</v>
      </c>
      <c r="N40" s="20">
        <v>4.6278609999999996E-3</v>
      </c>
      <c r="O40" s="33">
        <f t="shared" si="0"/>
        <v>3.8565508333333328E-4</v>
      </c>
    </row>
    <row r="41" spans="1:15" x14ac:dyDescent="0.2">
      <c r="A41" s="6" t="s">
        <v>37</v>
      </c>
      <c r="B41" s="6" t="s">
        <v>229</v>
      </c>
      <c r="C41" s="20">
        <v>4.3117739999999998</v>
      </c>
      <c r="D41" s="20">
        <v>3.2608519999999999</v>
      </c>
      <c r="E41" s="6">
        <v>2.668946611</v>
      </c>
      <c r="F41" s="20">
        <v>3.6226859999999999</v>
      </c>
      <c r="G41" s="20">
        <v>2.178061</v>
      </c>
      <c r="H41" s="6">
        <v>2.1405668900000001</v>
      </c>
      <c r="I41" s="20">
        <v>1.3103689999999999</v>
      </c>
      <c r="J41" s="6">
        <v>1.026944715</v>
      </c>
      <c r="K41" s="6">
        <v>3.016903932</v>
      </c>
      <c r="L41" s="20">
        <v>1.788149</v>
      </c>
      <c r="M41" s="6">
        <v>1.8592903620000001</v>
      </c>
      <c r="N41" s="20">
        <v>1.471949</v>
      </c>
      <c r="O41" s="33">
        <f t="shared" si="0"/>
        <v>2.3880410424999998</v>
      </c>
    </row>
    <row r="42" spans="1:15" x14ac:dyDescent="0.2">
      <c r="A42" s="6" t="s">
        <v>37</v>
      </c>
      <c r="B42" s="6" t="s">
        <v>52</v>
      </c>
      <c r="C42" s="20">
        <v>4.8517980000000002E-2</v>
      </c>
      <c r="D42" s="20">
        <v>0.22315670000000001</v>
      </c>
      <c r="E42" s="6">
        <v>4.1017636030000002</v>
      </c>
      <c r="F42" s="20">
        <v>1.2579940000000001</v>
      </c>
      <c r="G42" s="20">
        <v>2.5706920000000002</v>
      </c>
      <c r="H42" s="6">
        <v>0.55317048999999996</v>
      </c>
      <c r="I42" s="20">
        <v>0.38278679999999998</v>
      </c>
      <c r="J42" s="6">
        <v>0.82407026900000002</v>
      </c>
      <c r="K42" s="6">
        <v>0.196155783</v>
      </c>
      <c r="L42" s="20">
        <v>0.35408210000000001</v>
      </c>
      <c r="M42" s="6">
        <v>0.55900739899999996</v>
      </c>
      <c r="N42" s="20">
        <v>0.93739249999999996</v>
      </c>
      <c r="O42" s="33">
        <f t="shared" si="0"/>
        <v>1.0007324686666665</v>
      </c>
    </row>
    <row r="43" spans="1:15" x14ac:dyDescent="0.2">
      <c r="A43" s="6" t="s">
        <v>37</v>
      </c>
      <c r="B43" s="6" t="s">
        <v>49</v>
      </c>
      <c r="C43" s="20">
        <v>45.215409999999999</v>
      </c>
      <c r="D43" s="20">
        <v>43.928910000000002</v>
      </c>
      <c r="E43" s="6">
        <v>32.967241637999997</v>
      </c>
      <c r="F43" s="20">
        <v>49.146000000000001</v>
      </c>
      <c r="G43" s="20">
        <v>5.5013560000000004</v>
      </c>
      <c r="H43" s="6">
        <v>3.0608459360000002</v>
      </c>
      <c r="I43" s="20">
        <v>22.92362</v>
      </c>
      <c r="J43" s="6">
        <v>10.613199616999999</v>
      </c>
      <c r="K43" s="6">
        <v>24.315050391</v>
      </c>
      <c r="L43" s="20">
        <v>119.04089999999999</v>
      </c>
      <c r="M43" s="6">
        <v>88.325992522999996</v>
      </c>
      <c r="N43" s="20">
        <v>59.502780000000001</v>
      </c>
      <c r="O43" s="33">
        <f t="shared" si="0"/>
        <v>42.04510884208333</v>
      </c>
    </row>
    <row r="44" spans="1:15" x14ac:dyDescent="0.2">
      <c r="A44" s="6" t="s">
        <v>37</v>
      </c>
      <c r="B44" s="6" t="s">
        <v>54</v>
      </c>
      <c r="C44" s="20">
        <v>0.49670330000000001</v>
      </c>
      <c r="D44" s="20">
        <v>0.4237437</v>
      </c>
      <c r="E44" s="6">
        <v>0.636367444</v>
      </c>
      <c r="F44" s="20">
        <v>0.46285670000000001</v>
      </c>
      <c r="G44" s="20">
        <v>0.53388659999999999</v>
      </c>
      <c r="H44" s="6">
        <v>1.575292082</v>
      </c>
      <c r="I44" s="20">
        <v>0.79092419999999997</v>
      </c>
      <c r="J44" s="6">
        <v>1.2015642230000001</v>
      </c>
      <c r="K44" s="6">
        <v>2.4916103490000001</v>
      </c>
      <c r="L44" s="20">
        <v>0.87157430000000002</v>
      </c>
      <c r="M44" s="6">
        <v>3.7801118680000001</v>
      </c>
      <c r="N44" s="20">
        <v>2.1631480000000001</v>
      </c>
      <c r="O44" s="33">
        <f t="shared" si="0"/>
        <v>1.2856485638333333</v>
      </c>
    </row>
    <row r="45" spans="1:15" x14ac:dyDescent="0.2">
      <c r="A45" s="6" t="s">
        <v>37</v>
      </c>
      <c r="B45" s="6" t="s">
        <v>53</v>
      </c>
      <c r="C45" s="20">
        <v>0.40255239999999998</v>
      </c>
      <c r="D45" s="20">
        <v>0.5512494</v>
      </c>
      <c r="E45" s="6">
        <v>6.1270175650000001</v>
      </c>
      <c r="F45" s="20">
        <v>1.017943</v>
      </c>
      <c r="G45" s="20">
        <v>2.7905359999999999</v>
      </c>
      <c r="H45" s="6">
        <v>2.2944467369999999</v>
      </c>
      <c r="I45" s="20">
        <v>0.88401529999999995</v>
      </c>
      <c r="J45" s="6">
        <v>1.54846394</v>
      </c>
      <c r="K45" s="6">
        <v>2.003775343</v>
      </c>
      <c r="L45" s="20">
        <v>0.64274249999999999</v>
      </c>
      <c r="M45" s="6">
        <v>0.511645813</v>
      </c>
      <c r="N45" s="20">
        <v>0.43050260000000001</v>
      </c>
      <c r="O45" s="33">
        <f t="shared" si="0"/>
        <v>1.6004075498333334</v>
      </c>
    </row>
    <row r="46" spans="1:15" x14ac:dyDescent="0.2">
      <c r="A46" s="6" t="s">
        <v>184</v>
      </c>
      <c r="B46" s="6" t="s">
        <v>205</v>
      </c>
      <c r="C46" s="20">
        <v>1.435521E-2</v>
      </c>
      <c r="D46" s="20">
        <v>6.1184630000000002E-3</v>
      </c>
      <c r="E46" s="6">
        <v>0</v>
      </c>
      <c r="F46" s="20">
        <v>0</v>
      </c>
      <c r="G46" s="20">
        <v>0</v>
      </c>
      <c r="H46" s="6">
        <v>0</v>
      </c>
      <c r="I46" s="20">
        <v>6.4782370000000004E-3</v>
      </c>
      <c r="J46" s="6">
        <v>0</v>
      </c>
      <c r="K46" s="6">
        <v>0</v>
      </c>
      <c r="L46" s="20">
        <v>0</v>
      </c>
      <c r="M46" s="6">
        <v>0</v>
      </c>
      <c r="N46" s="20">
        <v>3.8879799999999999E-2</v>
      </c>
      <c r="O46" s="33">
        <f t="shared" si="0"/>
        <v>5.4859758333333335E-3</v>
      </c>
    </row>
    <row r="47" spans="1:15" x14ac:dyDescent="0.2">
      <c r="A47" s="6" t="s">
        <v>184</v>
      </c>
      <c r="B47" s="6" t="s">
        <v>208</v>
      </c>
      <c r="C47" s="20">
        <v>0</v>
      </c>
      <c r="D47" s="20">
        <v>1.3301260000000001E-2</v>
      </c>
      <c r="E47" s="6">
        <v>5.1376756000000003E-2</v>
      </c>
      <c r="F47" s="20">
        <v>5.1735950000000003E-2</v>
      </c>
      <c r="G47" s="20">
        <v>7.8204710000000007E-3</v>
      </c>
      <c r="H47" s="6">
        <v>1.9079934E-2</v>
      </c>
      <c r="I47" s="20">
        <v>1.4640800000000001E-2</v>
      </c>
      <c r="J47" s="6">
        <v>0</v>
      </c>
      <c r="K47" s="6">
        <v>0</v>
      </c>
      <c r="L47" s="20">
        <v>0</v>
      </c>
      <c r="M47" s="6">
        <v>1.9058794E-2</v>
      </c>
      <c r="N47" s="20">
        <v>1.0847799999999999E-2</v>
      </c>
      <c r="O47" s="33">
        <f t="shared" si="0"/>
        <v>1.5655147083333331E-2</v>
      </c>
    </row>
    <row r="48" spans="1:15" x14ac:dyDescent="0.2">
      <c r="A48" s="6" t="s">
        <v>184</v>
      </c>
      <c r="B48" s="6" t="s">
        <v>207</v>
      </c>
      <c r="C48" s="20">
        <v>1.570359E-2</v>
      </c>
      <c r="D48" s="20">
        <v>5.3492159999999997E-2</v>
      </c>
      <c r="E48" s="6">
        <v>1.386052E-3</v>
      </c>
      <c r="F48" s="20">
        <v>0</v>
      </c>
      <c r="G48" s="20">
        <v>0</v>
      </c>
      <c r="H48" s="6">
        <v>0</v>
      </c>
      <c r="I48" s="20">
        <v>0</v>
      </c>
      <c r="J48" s="6">
        <v>0</v>
      </c>
      <c r="K48" s="6">
        <v>0</v>
      </c>
      <c r="L48" s="20">
        <v>0</v>
      </c>
      <c r="M48" s="6">
        <v>0</v>
      </c>
      <c r="N48" s="20">
        <v>2.5185329999999999E-2</v>
      </c>
      <c r="O48" s="33">
        <f t="shared" si="0"/>
        <v>7.9805943333333337E-3</v>
      </c>
    </row>
    <row r="49" spans="1:15" x14ac:dyDescent="0.2">
      <c r="A49" s="6" t="s">
        <v>184</v>
      </c>
      <c r="B49" s="6" t="s">
        <v>209</v>
      </c>
      <c r="C49" s="20">
        <v>4.208509E-3</v>
      </c>
      <c r="D49" s="20">
        <v>9.5205559999999995E-3</v>
      </c>
      <c r="E49" s="6">
        <v>0</v>
      </c>
      <c r="F49" s="20">
        <v>0</v>
      </c>
      <c r="G49" s="20">
        <v>6.5652979999999998E-3</v>
      </c>
      <c r="H49" s="6">
        <v>0</v>
      </c>
      <c r="I49" s="20">
        <v>0</v>
      </c>
      <c r="J49" s="6">
        <v>0</v>
      </c>
      <c r="K49" s="6">
        <v>0</v>
      </c>
      <c r="L49" s="20">
        <v>1.7142310000000001E-2</v>
      </c>
      <c r="M49" s="6">
        <v>0</v>
      </c>
      <c r="N49" s="20">
        <v>2.805545E-3</v>
      </c>
      <c r="O49" s="33">
        <f t="shared" si="0"/>
        <v>3.3535181666666668E-3</v>
      </c>
    </row>
    <row r="50" spans="1:15" x14ac:dyDescent="0.2">
      <c r="A50" s="6" t="s">
        <v>19</v>
      </c>
      <c r="B50" s="6" t="s">
        <v>228</v>
      </c>
      <c r="C50" s="20">
        <v>4.6893610000000002E-4</v>
      </c>
      <c r="D50" s="20">
        <v>9.3748780000000003E-4</v>
      </c>
      <c r="E50" s="6">
        <v>2.774987E-3</v>
      </c>
      <c r="F50" s="20">
        <v>1.175377E-2</v>
      </c>
      <c r="G50" s="20">
        <v>0.17758879999999999</v>
      </c>
      <c r="H50" s="6">
        <v>0.24125532899999999</v>
      </c>
      <c r="I50" s="20">
        <v>0.13135749999999999</v>
      </c>
      <c r="J50" s="6">
        <v>0.13143971700000001</v>
      </c>
      <c r="K50" s="6">
        <v>5.2686125E-2</v>
      </c>
      <c r="L50" s="20">
        <v>0</v>
      </c>
      <c r="M50" s="6">
        <v>0</v>
      </c>
      <c r="N50" s="20">
        <v>0</v>
      </c>
      <c r="O50" s="33">
        <f t="shared" si="0"/>
        <v>6.2521887658333344E-2</v>
      </c>
    </row>
    <row r="51" spans="1:15" x14ac:dyDescent="0.2">
      <c r="A51" s="6" t="s">
        <v>19</v>
      </c>
      <c r="B51" s="6" t="s">
        <v>46</v>
      </c>
      <c r="C51" s="20">
        <v>0</v>
      </c>
      <c r="D51" s="20">
        <v>0</v>
      </c>
      <c r="E51" s="6">
        <v>0</v>
      </c>
      <c r="F51" s="20">
        <v>0</v>
      </c>
      <c r="G51" s="20">
        <v>1.1577340000000001E-3</v>
      </c>
      <c r="H51" s="6">
        <v>7.0950033999999995E-2</v>
      </c>
      <c r="I51" s="20">
        <v>4.080513E-3</v>
      </c>
      <c r="J51" s="6">
        <v>1.7780365999999999E-2</v>
      </c>
      <c r="K51" s="6">
        <v>2.3154680000000002E-3</v>
      </c>
      <c r="L51" s="20">
        <v>0</v>
      </c>
      <c r="M51" s="6">
        <v>0</v>
      </c>
      <c r="N51" s="20">
        <v>9.9821890000000003E-4</v>
      </c>
      <c r="O51" s="33">
        <f t="shared" si="0"/>
        <v>8.1068611583333325E-3</v>
      </c>
    </row>
    <row r="52" spans="1:15" x14ac:dyDescent="0.2">
      <c r="A52" s="6" t="s">
        <v>19</v>
      </c>
      <c r="B52" s="6" t="s">
        <v>48</v>
      </c>
      <c r="C52" s="20">
        <v>0</v>
      </c>
      <c r="D52" s="20">
        <v>0</v>
      </c>
      <c r="E52" s="6">
        <v>0</v>
      </c>
      <c r="F52" s="20">
        <v>0</v>
      </c>
      <c r="G52" s="20">
        <v>0</v>
      </c>
      <c r="H52" s="6">
        <v>0</v>
      </c>
      <c r="I52" s="20">
        <v>0</v>
      </c>
      <c r="J52" s="6">
        <v>0</v>
      </c>
      <c r="K52" s="6">
        <v>0</v>
      </c>
      <c r="L52" s="20">
        <v>1.141533E-2</v>
      </c>
      <c r="M52" s="6">
        <v>0</v>
      </c>
      <c r="N52" s="20">
        <v>0</v>
      </c>
      <c r="O52" s="33">
        <f t="shared" si="0"/>
        <v>9.512775E-4</v>
      </c>
    </row>
    <row r="53" spans="1:15" x14ac:dyDescent="0.2">
      <c r="A53" s="6" t="s">
        <v>20</v>
      </c>
      <c r="B53" s="6" t="s">
        <v>49</v>
      </c>
      <c r="C53" s="20">
        <v>0.75676790000000005</v>
      </c>
      <c r="D53" s="20">
        <v>0.57814860000000001</v>
      </c>
      <c r="E53" s="6">
        <v>0</v>
      </c>
      <c r="F53" s="20">
        <v>0.40687200000000001</v>
      </c>
      <c r="G53" s="20">
        <v>6.1653380000000001E-2</v>
      </c>
      <c r="H53" s="6">
        <v>4.3966988999999998E-2</v>
      </c>
      <c r="I53" s="20">
        <v>0.3672262</v>
      </c>
      <c r="J53" s="6">
        <v>0.23787591399999999</v>
      </c>
      <c r="K53" s="6">
        <v>0.74159901299999997</v>
      </c>
      <c r="L53" s="20">
        <v>0.97135329999999998</v>
      </c>
      <c r="M53" s="6">
        <v>0.32460257300000001</v>
      </c>
      <c r="N53" s="20">
        <v>0.78901540000000003</v>
      </c>
      <c r="O53" s="33">
        <f t="shared" si="0"/>
        <v>0.43992343908333337</v>
      </c>
    </row>
    <row r="54" spans="1:15" x14ac:dyDescent="0.2">
      <c r="A54" s="6" t="s">
        <v>21</v>
      </c>
      <c r="B54" s="6" t="s">
        <v>40</v>
      </c>
      <c r="C54" s="20">
        <v>0</v>
      </c>
      <c r="D54" s="20">
        <v>0</v>
      </c>
      <c r="E54" s="6">
        <v>0</v>
      </c>
      <c r="F54" s="20">
        <v>0</v>
      </c>
      <c r="G54" s="20">
        <v>0</v>
      </c>
      <c r="H54" s="6">
        <v>0</v>
      </c>
      <c r="I54" s="20">
        <v>8.3113159999999991E-3</v>
      </c>
      <c r="J54" s="6">
        <v>3.5285136000000002E-2</v>
      </c>
      <c r="K54" s="6">
        <v>5.7961660000000002E-3</v>
      </c>
      <c r="L54" s="20">
        <v>0</v>
      </c>
      <c r="M54" s="6">
        <v>8.6841590000000003E-3</v>
      </c>
      <c r="N54" s="20">
        <v>0</v>
      </c>
      <c r="O54" s="33">
        <f t="shared" si="0"/>
        <v>4.8397314166666663E-3</v>
      </c>
    </row>
    <row r="55" spans="1:15" x14ac:dyDescent="0.2">
      <c r="A55" s="6" t="s">
        <v>21</v>
      </c>
      <c r="B55" s="6" t="s">
        <v>229</v>
      </c>
      <c r="C55" s="20">
        <v>4.0547600000000001E-3</v>
      </c>
      <c r="D55" s="20">
        <v>0</v>
      </c>
      <c r="E55" s="6">
        <v>0</v>
      </c>
      <c r="F55" s="20">
        <v>0</v>
      </c>
      <c r="G55" s="20">
        <v>6.3709969999999998E-3</v>
      </c>
      <c r="H55" s="6">
        <v>1.5893859999999999E-3</v>
      </c>
      <c r="I55" s="20">
        <v>2.3756610000000001E-2</v>
      </c>
      <c r="J55" s="6">
        <v>9.7311930000000008E-3</v>
      </c>
      <c r="K55" s="6">
        <v>0</v>
      </c>
      <c r="L55" s="20">
        <v>1.5927489999999999E-2</v>
      </c>
      <c r="M55" s="6">
        <v>0</v>
      </c>
      <c r="N55" s="20">
        <v>4.3303559999999996E-3</v>
      </c>
      <c r="O55" s="33">
        <f t="shared" si="0"/>
        <v>5.4800659999999996E-3</v>
      </c>
    </row>
    <row r="56" spans="1:15" x14ac:dyDescent="0.2">
      <c r="A56" s="6" t="s">
        <v>21</v>
      </c>
      <c r="B56" s="6" t="s">
        <v>50</v>
      </c>
      <c r="C56" s="20">
        <v>3.2937000000000001E-3</v>
      </c>
      <c r="D56" s="20">
        <v>9.7269650000000006E-3</v>
      </c>
      <c r="E56" s="6">
        <v>0</v>
      </c>
      <c r="F56" s="20">
        <v>8.250585E-4</v>
      </c>
      <c r="G56" s="20">
        <v>0</v>
      </c>
      <c r="H56" s="6">
        <v>0</v>
      </c>
      <c r="I56" s="20">
        <v>7.9142579999999995E-4</v>
      </c>
      <c r="J56" s="6">
        <v>0</v>
      </c>
      <c r="K56" s="6">
        <v>1.4278528E-2</v>
      </c>
      <c r="L56" s="20">
        <v>0</v>
      </c>
      <c r="M56" s="6">
        <v>1.3191711E-2</v>
      </c>
      <c r="N56" s="20">
        <v>8.0973349999999999E-2</v>
      </c>
      <c r="O56" s="33">
        <f t="shared" si="0"/>
        <v>1.0256728191666667E-2</v>
      </c>
    </row>
    <row r="57" spans="1:15" x14ac:dyDescent="0.2">
      <c r="A57" s="6" t="s">
        <v>22</v>
      </c>
      <c r="B57" s="6" t="s">
        <v>52</v>
      </c>
      <c r="C57" s="20">
        <v>0.1236627</v>
      </c>
      <c r="D57" s="20">
        <v>0.19349959999999999</v>
      </c>
      <c r="E57" s="6">
        <v>6.5629337999999995E-2</v>
      </c>
      <c r="F57" s="20">
        <v>0.9067923</v>
      </c>
      <c r="G57" s="20">
        <v>0.30315569999999997</v>
      </c>
      <c r="H57" s="6">
        <v>2.1397635479999999</v>
      </c>
      <c r="I57" s="20">
        <v>0.78724530000000004</v>
      </c>
      <c r="J57" s="6">
        <v>2.1599047389999999</v>
      </c>
      <c r="K57" s="6">
        <v>0.36571827600000001</v>
      </c>
      <c r="L57" s="20">
        <v>5.6223330000000002E-2</v>
      </c>
      <c r="M57" s="6">
        <v>0.29142265299999998</v>
      </c>
      <c r="N57" s="20">
        <v>0.83939909999999995</v>
      </c>
      <c r="O57" s="33">
        <f t="shared" si="0"/>
        <v>0.68603471533333327</v>
      </c>
    </row>
    <row r="58" spans="1:15" x14ac:dyDescent="0.2">
      <c r="A58" s="6" t="s">
        <v>22</v>
      </c>
      <c r="B58" s="6" t="s">
        <v>51</v>
      </c>
      <c r="C58" s="20">
        <v>1.197821</v>
      </c>
      <c r="D58" s="20">
        <v>1.417227</v>
      </c>
      <c r="E58" s="6">
        <v>1.5542926E-2</v>
      </c>
      <c r="F58" s="20">
        <v>1.536103</v>
      </c>
      <c r="G58" s="20">
        <v>2.572441E-2</v>
      </c>
      <c r="H58" s="6">
        <v>0.83527438300000001</v>
      </c>
      <c r="I58" s="20">
        <v>0.75851150000000001</v>
      </c>
      <c r="J58" s="6">
        <v>0.63130216500000003</v>
      </c>
      <c r="K58" s="6">
        <v>0.61663176799999997</v>
      </c>
      <c r="L58" s="20">
        <v>2.1482080000000001E-2</v>
      </c>
      <c r="M58" s="6">
        <v>0.39646107400000002</v>
      </c>
      <c r="N58" s="20">
        <v>1.3061419999999999</v>
      </c>
      <c r="O58" s="33">
        <f t="shared" si="0"/>
        <v>0.7298519421666666</v>
      </c>
    </row>
    <row r="59" spans="1:15" x14ac:dyDescent="0.2">
      <c r="A59" s="6" t="s">
        <v>22</v>
      </c>
      <c r="B59" s="6" t="s">
        <v>54</v>
      </c>
      <c r="C59" s="20">
        <v>0.2617505</v>
      </c>
      <c r="D59" s="20">
        <v>0.25246639999999998</v>
      </c>
      <c r="E59" s="6">
        <v>7.502786E-3</v>
      </c>
      <c r="F59" s="20">
        <v>0.12573290000000001</v>
      </c>
      <c r="G59" s="20">
        <v>0</v>
      </c>
      <c r="H59" s="6">
        <v>0.466105198</v>
      </c>
      <c r="I59" s="20">
        <v>0.44119580000000003</v>
      </c>
      <c r="J59" s="6">
        <v>0.30329749900000003</v>
      </c>
      <c r="K59" s="6">
        <v>0.56854544500000004</v>
      </c>
      <c r="L59" s="20">
        <v>0.16912779999999999</v>
      </c>
      <c r="M59" s="6">
        <v>0.21489689200000001</v>
      </c>
      <c r="N59" s="20">
        <v>0.61811510000000003</v>
      </c>
      <c r="O59" s="33">
        <f t="shared" si="0"/>
        <v>0.28572802666666669</v>
      </c>
    </row>
    <row r="60" spans="1:15" x14ac:dyDescent="0.2">
      <c r="A60" s="6" t="s">
        <v>22</v>
      </c>
      <c r="B60" s="6" t="s">
        <v>53</v>
      </c>
      <c r="C60" s="20">
        <v>0.18882060000000001</v>
      </c>
      <c r="D60" s="20">
        <v>0.31289220000000001</v>
      </c>
      <c r="E60" s="6">
        <v>2.6544859000000001E-2</v>
      </c>
      <c r="F60" s="20">
        <v>0.47419129999999998</v>
      </c>
      <c r="G60" s="20">
        <v>5.6923849999999998E-2</v>
      </c>
      <c r="H60" s="6">
        <v>2.7129714479999998</v>
      </c>
      <c r="I60" s="20">
        <v>1.1019159999999999</v>
      </c>
      <c r="J60" s="6">
        <v>1.668434325</v>
      </c>
      <c r="K60" s="6">
        <v>1.8142713420000001</v>
      </c>
      <c r="L60" s="20">
        <v>0.14623710000000001</v>
      </c>
      <c r="M60" s="6">
        <v>7.3561084999999998E-2</v>
      </c>
      <c r="N60" s="20">
        <v>0.14056969999999999</v>
      </c>
      <c r="O60" s="33">
        <f t="shared" si="0"/>
        <v>0.72644448408333329</v>
      </c>
    </row>
    <row r="61" spans="1:15" x14ac:dyDescent="0.2">
      <c r="A61" s="6" t="s">
        <v>22</v>
      </c>
      <c r="B61" s="6" t="s">
        <v>227</v>
      </c>
      <c r="C61" s="20">
        <v>0.62667930000000005</v>
      </c>
      <c r="D61" s="20">
        <v>0.52307559999999997</v>
      </c>
      <c r="E61" s="6">
        <v>4.1443189999999996E-3</v>
      </c>
      <c r="F61" s="20">
        <v>0.1655266</v>
      </c>
      <c r="G61" s="20">
        <v>0</v>
      </c>
      <c r="H61" s="6">
        <v>0.63342852100000002</v>
      </c>
      <c r="I61" s="20">
        <v>0.52497669999999996</v>
      </c>
      <c r="J61" s="6">
        <v>0.33353542200000003</v>
      </c>
      <c r="K61" s="6">
        <v>1.23913696</v>
      </c>
      <c r="L61" s="20">
        <v>9.6425179999999999E-2</v>
      </c>
      <c r="M61" s="6">
        <v>7.0699613999999994E-2</v>
      </c>
      <c r="N61" s="20">
        <v>0.15958359999999999</v>
      </c>
      <c r="O61" s="33">
        <f t="shared" si="0"/>
        <v>0.36476765133333333</v>
      </c>
    </row>
    <row r="62" spans="1:15" x14ac:dyDescent="0.2">
      <c r="A62" s="6" t="s">
        <v>23</v>
      </c>
      <c r="B62" s="6" t="s">
        <v>52</v>
      </c>
      <c r="C62" s="20">
        <v>0</v>
      </c>
      <c r="D62" s="20">
        <v>1.2561339999999999E-3</v>
      </c>
      <c r="E62" s="6">
        <v>0</v>
      </c>
      <c r="F62" s="20">
        <v>5.6526019999999996E-3</v>
      </c>
      <c r="G62" s="20">
        <v>0</v>
      </c>
      <c r="H62" s="6">
        <v>9.8100280999999998E-2</v>
      </c>
      <c r="I62" s="20">
        <v>5.4661420000000002E-2</v>
      </c>
      <c r="J62" s="6">
        <v>7.4061924000000001E-2</v>
      </c>
      <c r="K62" s="6">
        <v>0.11169424</v>
      </c>
      <c r="L62" s="20">
        <v>3.1503860000000002E-2</v>
      </c>
      <c r="M62" s="6">
        <v>5.5269694000000001E-2</v>
      </c>
      <c r="N62" s="20">
        <v>0.10463500000000001</v>
      </c>
      <c r="O62" s="33">
        <f t="shared" si="0"/>
        <v>4.4736262916666665E-2</v>
      </c>
    </row>
    <row r="63" spans="1:15" x14ac:dyDescent="0.2">
      <c r="A63" s="6" t="s">
        <v>23</v>
      </c>
      <c r="B63" s="6" t="s">
        <v>49</v>
      </c>
      <c r="C63" s="20">
        <v>0.1119762</v>
      </c>
      <c r="D63" s="20">
        <v>0.1119827</v>
      </c>
      <c r="E63" s="6">
        <v>0</v>
      </c>
      <c r="F63" s="20">
        <v>4.1177400000000003E-2</v>
      </c>
      <c r="G63" s="20">
        <v>0</v>
      </c>
      <c r="H63" s="6">
        <v>8.9247770000000001E-3</v>
      </c>
      <c r="I63" s="20">
        <v>4.386205E-2</v>
      </c>
      <c r="J63" s="6">
        <v>2.6771255000000001E-2</v>
      </c>
      <c r="K63" s="6">
        <v>9.1511151999999998E-2</v>
      </c>
      <c r="L63" s="20">
        <v>0.37240060000000003</v>
      </c>
      <c r="M63" s="6">
        <v>0.13666508799999999</v>
      </c>
      <c r="N63" s="20">
        <v>0.29853780000000002</v>
      </c>
      <c r="O63" s="33">
        <f t="shared" si="0"/>
        <v>0.10365075183333333</v>
      </c>
    </row>
    <row r="64" spans="1:15" x14ac:dyDescent="0.2">
      <c r="A64" s="6" t="s">
        <v>23</v>
      </c>
      <c r="B64" s="6" t="s">
        <v>54</v>
      </c>
      <c r="C64" s="20">
        <v>0.10585079999999999</v>
      </c>
      <c r="D64" s="20">
        <v>8.1202440000000001E-2</v>
      </c>
      <c r="E64" s="6">
        <v>0</v>
      </c>
      <c r="F64" s="20">
        <v>4.7543780000000001E-2</v>
      </c>
      <c r="G64" s="20">
        <v>3.8958209999999998E-3</v>
      </c>
      <c r="H64" s="6">
        <v>0.442955129</v>
      </c>
      <c r="I64" s="20">
        <v>0.30951240000000002</v>
      </c>
      <c r="J64" s="6">
        <v>0.303690713</v>
      </c>
      <c r="K64" s="6">
        <v>0.62862134999999997</v>
      </c>
      <c r="L64" s="20">
        <v>0.2413178</v>
      </c>
      <c r="M64" s="6">
        <v>0.15177098</v>
      </c>
      <c r="N64" s="20">
        <v>0.34240369999999998</v>
      </c>
      <c r="O64" s="33">
        <f t="shared" si="0"/>
        <v>0.22156374274999999</v>
      </c>
    </row>
    <row r="65" spans="1:15" x14ac:dyDescent="0.2">
      <c r="A65" s="6" t="s">
        <v>23</v>
      </c>
      <c r="B65" s="6" t="s">
        <v>53</v>
      </c>
      <c r="C65" s="20">
        <v>1.633128E-2</v>
      </c>
      <c r="D65" s="20">
        <v>1.6412759999999998E-2</v>
      </c>
      <c r="E65" s="6">
        <v>3.4374549999999999E-3</v>
      </c>
      <c r="F65" s="20">
        <v>4.644947E-2</v>
      </c>
      <c r="G65" s="20">
        <v>4.0601409999999998E-3</v>
      </c>
      <c r="H65" s="6">
        <v>0.115916779</v>
      </c>
      <c r="I65" s="20">
        <v>2.3116629999999999E-2</v>
      </c>
      <c r="J65" s="6">
        <v>5.6744729000000001E-2</v>
      </c>
      <c r="K65" s="6">
        <v>1.3886467E-2</v>
      </c>
      <c r="L65" s="20">
        <v>2.0897450000000001E-2</v>
      </c>
      <c r="M65" s="6">
        <v>0</v>
      </c>
      <c r="N65" s="20">
        <v>2.7067609999999998E-3</v>
      </c>
      <c r="O65" s="33">
        <f t="shared" si="0"/>
        <v>2.6663326833333334E-2</v>
      </c>
    </row>
    <row r="66" spans="1:15" x14ac:dyDescent="0.2">
      <c r="A66" s="6" t="s">
        <v>23</v>
      </c>
      <c r="B66" s="6" t="s">
        <v>227</v>
      </c>
      <c r="C66" s="20">
        <v>2.7162929999999998E-2</v>
      </c>
      <c r="D66" s="20">
        <v>2.2758779999999999E-2</v>
      </c>
      <c r="E66" s="6">
        <v>0</v>
      </c>
      <c r="F66" s="20">
        <v>0</v>
      </c>
      <c r="G66" s="20">
        <v>0</v>
      </c>
      <c r="H66" s="6">
        <v>3.45898E-3</v>
      </c>
      <c r="I66" s="20">
        <v>2.5933319999999999E-2</v>
      </c>
      <c r="J66" s="6">
        <v>1.2008993000000001E-2</v>
      </c>
      <c r="K66" s="6">
        <v>1.0631779999999999E-3</v>
      </c>
      <c r="L66" s="20">
        <v>0</v>
      </c>
      <c r="M66" s="6">
        <v>1.5003265E-2</v>
      </c>
      <c r="N66" s="20">
        <v>2.1820900000000001E-2</v>
      </c>
      <c r="O66" s="33">
        <f t="shared" si="0"/>
        <v>1.0767528833333331E-2</v>
      </c>
    </row>
    <row r="67" spans="1:15" x14ac:dyDescent="0.2">
      <c r="A67" s="6" t="s">
        <v>24</v>
      </c>
      <c r="B67" s="6" t="s">
        <v>51</v>
      </c>
      <c r="C67" s="20">
        <v>0.24185000000000001</v>
      </c>
      <c r="D67" s="20">
        <v>0.26826489999999997</v>
      </c>
      <c r="E67" s="6">
        <v>2.114248E-3</v>
      </c>
      <c r="F67" s="20">
        <v>0.148838</v>
      </c>
      <c r="G67" s="20">
        <v>0</v>
      </c>
      <c r="H67" s="6">
        <v>4.2394899E-2</v>
      </c>
      <c r="I67" s="20">
        <v>7.0639839999999995E-2</v>
      </c>
      <c r="J67" s="6">
        <v>3.2849359000000002E-2</v>
      </c>
      <c r="K67" s="6">
        <v>4.5676298999999997E-2</v>
      </c>
      <c r="L67" s="20">
        <v>0</v>
      </c>
      <c r="M67" s="6">
        <v>6.1798669000000001E-2</v>
      </c>
      <c r="N67" s="20">
        <v>0.15568599999999999</v>
      </c>
      <c r="O67" s="33">
        <f t="shared" si="0"/>
        <v>8.9176017833333343E-2</v>
      </c>
    </row>
    <row r="68" spans="1:15" x14ac:dyDescent="0.2">
      <c r="A68" s="6" t="s">
        <v>24</v>
      </c>
      <c r="B68" s="6" t="s">
        <v>54</v>
      </c>
      <c r="C68" s="20">
        <v>0.25784109999999999</v>
      </c>
      <c r="D68" s="20">
        <v>0.34021010000000002</v>
      </c>
      <c r="E68" s="6">
        <v>1.441402E-2</v>
      </c>
      <c r="F68" s="20">
        <v>0.39211439999999997</v>
      </c>
      <c r="G68" s="20">
        <v>2.8988900000000001E-2</v>
      </c>
      <c r="H68" s="6">
        <v>2.3390187299999998</v>
      </c>
      <c r="I68" s="20">
        <v>1.0916889999999999</v>
      </c>
      <c r="J68" s="6">
        <v>1.3679834989999999</v>
      </c>
      <c r="K68" s="6">
        <v>1.8281387819999999</v>
      </c>
      <c r="L68" s="20">
        <v>0.52111350000000001</v>
      </c>
      <c r="M68" s="6">
        <v>0.19231358200000001</v>
      </c>
      <c r="N68" s="20">
        <v>0.61215379999999997</v>
      </c>
      <c r="O68" s="33">
        <f t="shared" si="0"/>
        <v>0.74883161774999996</v>
      </c>
    </row>
    <row r="69" spans="1:15" x14ac:dyDescent="0.2">
      <c r="A69" s="6" t="s">
        <v>24</v>
      </c>
      <c r="B69" s="6" t="s">
        <v>227</v>
      </c>
      <c r="C69" s="20">
        <v>0.63234380000000001</v>
      </c>
      <c r="D69" s="20">
        <v>1.1008089999999999</v>
      </c>
      <c r="E69" s="6">
        <v>2.7378566E-2</v>
      </c>
      <c r="F69" s="20">
        <v>1.297177</v>
      </c>
      <c r="G69" s="20">
        <v>9.1269569999999996E-4</v>
      </c>
      <c r="H69" s="6">
        <v>1.3937430820000001</v>
      </c>
      <c r="I69" s="20">
        <v>0.78033390000000002</v>
      </c>
      <c r="J69" s="6">
        <v>0.71312575099999997</v>
      </c>
      <c r="K69" s="6">
        <v>0.70884228900000001</v>
      </c>
      <c r="L69" s="20">
        <v>2.9004470000000001E-2</v>
      </c>
      <c r="M69" s="6">
        <v>0.271433867</v>
      </c>
      <c r="N69" s="20">
        <v>0.85282340000000001</v>
      </c>
      <c r="O69" s="33">
        <f t="shared" ref="O69:O132" si="1">AVERAGE(C69:N69)</f>
        <v>0.65066065172499987</v>
      </c>
    </row>
    <row r="70" spans="1:15" x14ac:dyDescent="0.2">
      <c r="A70" s="6" t="s">
        <v>24</v>
      </c>
      <c r="B70" s="6" t="s">
        <v>56</v>
      </c>
      <c r="C70" s="20">
        <v>0.16159380000000001</v>
      </c>
      <c r="D70" s="20">
        <v>0.45285619999999999</v>
      </c>
      <c r="E70" s="6">
        <v>5.1780919999999996E-3</v>
      </c>
      <c r="F70" s="20">
        <v>1.495673</v>
      </c>
      <c r="G70" s="20">
        <v>0</v>
      </c>
      <c r="H70" s="6">
        <v>3.4878372500000001</v>
      </c>
      <c r="I70" s="20">
        <v>1.0663309999999999</v>
      </c>
      <c r="J70" s="6">
        <v>3.4437979990000001</v>
      </c>
      <c r="K70" s="6">
        <v>0.490802564</v>
      </c>
      <c r="L70" s="20">
        <v>1.386975E-2</v>
      </c>
      <c r="M70" s="6">
        <v>0.116625564</v>
      </c>
      <c r="N70" s="20">
        <v>0.63045119999999999</v>
      </c>
      <c r="O70" s="33">
        <f t="shared" si="1"/>
        <v>0.94708470158333313</v>
      </c>
    </row>
    <row r="71" spans="1:15" x14ac:dyDescent="0.2">
      <c r="A71" s="6" t="s">
        <v>24</v>
      </c>
      <c r="B71" s="6" t="s">
        <v>57</v>
      </c>
      <c r="C71" s="20">
        <v>9.4365320000000003E-2</v>
      </c>
      <c r="D71" s="20">
        <v>0.16654269999999999</v>
      </c>
      <c r="E71" s="6">
        <v>0</v>
      </c>
      <c r="F71" s="20">
        <v>0.1248023</v>
      </c>
      <c r="G71" s="20">
        <v>0</v>
      </c>
      <c r="H71" s="6">
        <v>0.11472099199999999</v>
      </c>
      <c r="I71" s="20">
        <v>0.11116280000000001</v>
      </c>
      <c r="J71" s="6">
        <v>9.7601363999999996E-2</v>
      </c>
      <c r="K71" s="6">
        <v>0.51296728999999996</v>
      </c>
      <c r="L71" s="20">
        <v>8.1583350000000003E-4</v>
      </c>
      <c r="M71" s="6">
        <v>1.3010671E-2</v>
      </c>
      <c r="N71" s="20">
        <v>8.5667320000000005E-2</v>
      </c>
      <c r="O71" s="33">
        <f t="shared" si="1"/>
        <v>0.11013804920833331</v>
      </c>
    </row>
    <row r="72" spans="1:15" x14ac:dyDescent="0.2">
      <c r="A72" s="6" t="s">
        <v>25</v>
      </c>
      <c r="B72" s="6" t="s">
        <v>229</v>
      </c>
      <c r="C72" s="20">
        <v>0</v>
      </c>
      <c r="D72" s="20">
        <v>0</v>
      </c>
      <c r="E72" s="6">
        <v>0</v>
      </c>
      <c r="F72" s="20">
        <v>0</v>
      </c>
      <c r="G72" s="20">
        <v>0</v>
      </c>
      <c r="H72" s="6">
        <v>0</v>
      </c>
      <c r="I72" s="20">
        <v>1.9852910000000001E-3</v>
      </c>
      <c r="J72" s="6">
        <v>5.3351090000000002E-3</v>
      </c>
      <c r="K72" s="6">
        <v>5.3550969999999996E-3</v>
      </c>
      <c r="L72" s="20">
        <v>0</v>
      </c>
      <c r="M72" s="6">
        <v>1.785032E-3</v>
      </c>
      <c r="N72" s="20">
        <v>0</v>
      </c>
      <c r="O72" s="33">
        <f t="shared" si="1"/>
        <v>1.2050440833333335E-3</v>
      </c>
    </row>
    <row r="73" spans="1:15" x14ac:dyDescent="0.2">
      <c r="A73" s="6" t="s">
        <v>25</v>
      </c>
      <c r="B73" s="6" t="s">
        <v>54</v>
      </c>
      <c r="C73" s="20">
        <v>8.1475339999999993E-2</v>
      </c>
      <c r="D73" s="20">
        <v>5.3774669999999997E-2</v>
      </c>
      <c r="E73" s="6">
        <v>0</v>
      </c>
      <c r="F73" s="20">
        <v>6.53647E-3</v>
      </c>
      <c r="G73" s="20">
        <v>0</v>
      </c>
      <c r="H73" s="6">
        <v>2.403105E-3</v>
      </c>
      <c r="I73" s="20">
        <v>3.3107270000000001E-2</v>
      </c>
      <c r="J73" s="6">
        <v>5.7659920000000002E-3</v>
      </c>
      <c r="K73" s="6">
        <v>3.133608E-3</v>
      </c>
      <c r="L73" s="20">
        <v>0</v>
      </c>
      <c r="M73" s="6">
        <v>1.2695292E-2</v>
      </c>
      <c r="N73" s="20">
        <v>4.0197820000000002E-2</v>
      </c>
      <c r="O73" s="33">
        <f t="shared" si="1"/>
        <v>1.9924130583333328E-2</v>
      </c>
    </row>
    <row r="74" spans="1:15" x14ac:dyDescent="0.2">
      <c r="A74" s="6" t="s">
        <v>25</v>
      </c>
      <c r="B74" s="6" t="s">
        <v>46</v>
      </c>
      <c r="C74" s="20">
        <v>6.1608599999999999E-2</v>
      </c>
      <c r="D74" s="20">
        <v>0.1372584</v>
      </c>
      <c r="E74" s="6">
        <v>1.7879149999999999E-3</v>
      </c>
      <c r="F74" s="20">
        <v>0.37565700000000002</v>
      </c>
      <c r="G74" s="20">
        <v>0.133189</v>
      </c>
      <c r="H74" s="6">
        <v>2.202050179</v>
      </c>
      <c r="I74" s="20">
        <v>1.1936180000000001</v>
      </c>
      <c r="J74" s="6">
        <v>1.176445776</v>
      </c>
      <c r="K74" s="6">
        <v>1.6700654159999999</v>
      </c>
      <c r="L74" s="20">
        <v>0.28390199999999999</v>
      </c>
      <c r="M74" s="6">
        <v>6.8610158000000004E-2</v>
      </c>
      <c r="N74" s="20">
        <v>0.2279264</v>
      </c>
      <c r="O74" s="33">
        <f t="shared" si="1"/>
        <v>0.62767657033333346</v>
      </c>
    </row>
    <row r="75" spans="1:15" x14ac:dyDescent="0.2">
      <c r="A75" s="6" t="s">
        <v>25</v>
      </c>
      <c r="B75" s="6" t="s">
        <v>58</v>
      </c>
      <c r="C75" s="20">
        <v>1.018821E-2</v>
      </c>
      <c r="D75" s="20">
        <v>2.7938600000000001E-2</v>
      </c>
      <c r="E75" s="6">
        <v>0</v>
      </c>
      <c r="F75" s="20">
        <v>1.6329929999999999E-2</v>
      </c>
      <c r="G75" s="20">
        <v>0</v>
      </c>
      <c r="H75" s="6">
        <v>8.7571899999999998E-3</v>
      </c>
      <c r="I75" s="20">
        <v>2.0262269999999999E-2</v>
      </c>
      <c r="J75" s="6">
        <v>2.2989400000000002E-3</v>
      </c>
      <c r="K75" s="6">
        <v>7.9686470000000006E-3</v>
      </c>
      <c r="L75" s="20">
        <v>0</v>
      </c>
      <c r="M75" s="6">
        <v>3.8485429999999998E-3</v>
      </c>
      <c r="N75" s="20">
        <v>4.7577799999999996E-3</v>
      </c>
      <c r="O75" s="33">
        <f t="shared" si="1"/>
        <v>8.5291758333333328E-3</v>
      </c>
    </row>
    <row r="76" spans="1:15" x14ac:dyDescent="0.2">
      <c r="A76" s="6" t="s">
        <v>59</v>
      </c>
      <c r="B76" s="6" t="s">
        <v>228</v>
      </c>
      <c r="C76" s="20">
        <v>2.5507049999999999E-3</v>
      </c>
      <c r="D76" s="20">
        <v>1.043037E-2</v>
      </c>
      <c r="E76" s="6">
        <v>0</v>
      </c>
      <c r="F76" s="20">
        <v>0</v>
      </c>
      <c r="G76" s="20">
        <v>0</v>
      </c>
      <c r="H76" s="6">
        <v>0</v>
      </c>
      <c r="I76" s="20">
        <v>0</v>
      </c>
      <c r="J76" s="6">
        <v>0</v>
      </c>
      <c r="K76" s="6">
        <v>0</v>
      </c>
      <c r="L76" s="20">
        <v>0</v>
      </c>
      <c r="M76" s="6">
        <v>0</v>
      </c>
      <c r="N76" s="20">
        <v>0</v>
      </c>
      <c r="O76" s="33">
        <f t="shared" si="1"/>
        <v>1.08175625E-3</v>
      </c>
    </row>
    <row r="77" spans="1:15" x14ac:dyDescent="0.2">
      <c r="A77" s="6" t="s">
        <v>27</v>
      </c>
      <c r="B77" s="6" t="s">
        <v>52</v>
      </c>
      <c r="C77" s="20">
        <v>0.67795090000000002</v>
      </c>
      <c r="D77" s="20">
        <v>1.0441240000000001</v>
      </c>
      <c r="E77" s="6">
        <v>3.786369858</v>
      </c>
      <c r="F77" s="20">
        <v>5.909503</v>
      </c>
      <c r="G77" s="20">
        <v>7.2979989999999999</v>
      </c>
      <c r="H77" s="6">
        <v>8.3425690679999995</v>
      </c>
      <c r="I77" s="20">
        <v>2.428258</v>
      </c>
      <c r="J77" s="6">
        <v>8.1149086579999992</v>
      </c>
      <c r="K77" s="6">
        <v>2.1851890429999998</v>
      </c>
      <c r="L77" s="20">
        <v>0.48776700000000001</v>
      </c>
      <c r="M77" s="6">
        <v>7.4681907949999999</v>
      </c>
      <c r="N77" s="20">
        <v>7.8958430000000002</v>
      </c>
      <c r="O77" s="33">
        <f t="shared" si="1"/>
        <v>4.6365560268333335</v>
      </c>
    </row>
    <row r="78" spans="1:15" x14ac:dyDescent="0.2">
      <c r="A78" s="6" t="s">
        <v>27</v>
      </c>
      <c r="B78" s="6" t="s">
        <v>51</v>
      </c>
      <c r="C78" s="20">
        <v>3.393259</v>
      </c>
      <c r="D78" s="20">
        <v>3.4113549999999999</v>
      </c>
      <c r="E78" s="6">
        <v>0.87882682400000001</v>
      </c>
      <c r="F78" s="20">
        <v>5.1515259999999996</v>
      </c>
      <c r="G78" s="20">
        <v>0.19185289999999999</v>
      </c>
      <c r="H78" s="6">
        <v>1.4980848259999999</v>
      </c>
      <c r="I78" s="20">
        <v>1.5524709999999999</v>
      </c>
      <c r="J78" s="6">
        <v>0.90967148099999995</v>
      </c>
      <c r="K78" s="6">
        <v>1.1048438439999999</v>
      </c>
      <c r="L78" s="20">
        <v>1.9481410000000001E-2</v>
      </c>
      <c r="M78" s="6">
        <v>1.429215793</v>
      </c>
      <c r="N78" s="20">
        <v>3.102754</v>
      </c>
      <c r="O78" s="33">
        <f t="shared" si="1"/>
        <v>1.8869451731666669</v>
      </c>
    </row>
    <row r="79" spans="1:15" x14ac:dyDescent="0.2">
      <c r="A79" s="6" t="s">
        <v>27</v>
      </c>
      <c r="B79" s="6" t="s">
        <v>44</v>
      </c>
      <c r="C79" s="20">
        <v>0.7499749</v>
      </c>
      <c r="D79" s="20">
        <v>0.49458229999999997</v>
      </c>
      <c r="E79" s="6">
        <v>0.34633487899999998</v>
      </c>
      <c r="F79" s="20">
        <v>0.32425199999999998</v>
      </c>
      <c r="G79" s="20">
        <v>8.7466580000000002E-2</v>
      </c>
      <c r="H79" s="6">
        <v>1.4797628780000001</v>
      </c>
      <c r="I79" s="20">
        <v>2.6287820000000002</v>
      </c>
      <c r="J79" s="6">
        <v>1.5814847299999999</v>
      </c>
      <c r="K79" s="6">
        <v>4.4735011739999999</v>
      </c>
      <c r="L79" s="20">
        <v>10.41804</v>
      </c>
      <c r="M79" s="6">
        <v>0.91179918299999996</v>
      </c>
      <c r="N79" s="20">
        <v>1.7183379999999999</v>
      </c>
      <c r="O79" s="33">
        <f t="shared" si="1"/>
        <v>2.1011932186666664</v>
      </c>
    </row>
    <row r="80" spans="1:15" x14ac:dyDescent="0.2">
      <c r="A80" s="6" t="s">
        <v>27</v>
      </c>
      <c r="B80" s="6" t="s">
        <v>49</v>
      </c>
      <c r="C80" s="20">
        <v>3.2635770000000002</v>
      </c>
      <c r="D80" s="20">
        <v>2.3341409999999998</v>
      </c>
      <c r="E80" s="6">
        <v>0.104285433</v>
      </c>
      <c r="F80" s="20">
        <v>1.5856079999999999</v>
      </c>
      <c r="G80" s="20">
        <v>2.5368100000000001E-2</v>
      </c>
      <c r="H80" s="6">
        <v>0.293082379</v>
      </c>
      <c r="I80" s="20">
        <v>1.5136829999999999</v>
      </c>
      <c r="J80" s="6">
        <v>0.79431089200000005</v>
      </c>
      <c r="K80" s="6">
        <v>2.321327154</v>
      </c>
      <c r="L80" s="20">
        <v>4.4156839999999997</v>
      </c>
      <c r="M80" s="6">
        <v>2.4539736130000001</v>
      </c>
      <c r="N80" s="20">
        <v>4.1581929999999998</v>
      </c>
      <c r="O80" s="33">
        <f t="shared" si="1"/>
        <v>1.9386027975833333</v>
      </c>
    </row>
    <row r="81" spans="1:15" x14ac:dyDescent="0.2">
      <c r="A81" s="6" t="s">
        <v>27</v>
      </c>
      <c r="B81" s="6" t="s">
        <v>54</v>
      </c>
      <c r="C81" s="20">
        <v>0.99969799999999998</v>
      </c>
      <c r="D81" s="20">
        <v>0.83451830000000005</v>
      </c>
      <c r="E81" s="6">
        <v>0.21267367300000001</v>
      </c>
      <c r="F81" s="20">
        <v>0.75248040000000005</v>
      </c>
      <c r="G81" s="20">
        <v>9.4195619999999994E-2</v>
      </c>
      <c r="H81" s="6">
        <v>3.3331106269999999</v>
      </c>
      <c r="I81" s="20">
        <v>2.0334379999999999</v>
      </c>
      <c r="J81" s="6">
        <v>1.7766874580000001</v>
      </c>
      <c r="K81" s="6">
        <v>3.4578241859999999</v>
      </c>
      <c r="L81" s="20">
        <v>1.1883189999999999</v>
      </c>
      <c r="M81" s="6">
        <v>1.3166930349999999</v>
      </c>
      <c r="N81" s="20">
        <v>2.2586529999999998</v>
      </c>
      <c r="O81" s="33">
        <f t="shared" si="1"/>
        <v>1.5215242749166666</v>
      </c>
    </row>
    <row r="82" spans="1:15" x14ac:dyDescent="0.2">
      <c r="A82" s="6" t="s">
        <v>27</v>
      </c>
      <c r="B82" s="6" t="s">
        <v>53</v>
      </c>
      <c r="C82" s="20">
        <v>0.54788000000000003</v>
      </c>
      <c r="D82" s="20">
        <v>0.4573219</v>
      </c>
      <c r="E82" s="6">
        <v>1.4104867919999999</v>
      </c>
      <c r="F82" s="20">
        <v>0.95335650000000005</v>
      </c>
      <c r="G82" s="20">
        <v>0.72511800000000004</v>
      </c>
      <c r="H82" s="6">
        <v>4.2372724939999999</v>
      </c>
      <c r="I82" s="20">
        <v>1.6230770000000001</v>
      </c>
      <c r="J82" s="6">
        <v>2.3550129110000002</v>
      </c>
      <c r="K82" s="6">
        <v>3.4656279360000002</v>
      </c>
      <c r="L82" s="20">
        <v>0.46296910000000002</v>
      </c>
      <c r="M82" s="6">
        <v>0.76325233100000001</v>
      </c>
      <c r="N82" s="20">
        <v>0.56844050000000002</v>
      </c>
      <c r="O82" s="33">
        <f t="shared" si="1"/>
        <v>1.4641512886666668</v>
      </c>
    </row>
    <row r="83" spans="1:15" x14ac:dyDescent="0.2">
      <c r="A83" s="6" t="s">
        <v>27</v>
      </c>
      <c r="B83" s="6" t="s">
        <v>45</v>
      </c>
      <c r="C83" s="20">
        <v>1.3359920000000001</v>
      </c>
      <c r="D83" s="20">
        <v>0.73879229999999996</v>
      </c>
      <c r="E83" s="6">
        <v>6.4161414999999999E-2</v>
      </c>
      <c r="F83" s="20">
        <v>0.3601297</v>
      </c>
      <c r="G83" s="20">
        <v>9.3362489999999996E-3</v>
      </c>
      <c r="H83" s="6">
        <v>0.32435618999999999</v>
      </c>
      <c r="I83" s="20">
        <v>0.43605060000000001</v>
      </c>
      <c r="J83" s="6">
        <v>0.95261680400000004</v>
      </c>
      <c r="K83" s="6">
        <v>1.3492744860000001</v>
      </c>
      <c r="L83" s="20">
        <v>9.887594</v>
      </c>
      <c r="M83" s="6">
        <v>0.88535983500000004</v>
      </c>
      <c r="N83" s="20">
        <v>2.5704129999999998</v>
      </c>
      <c r="O83" s="33">
        <f t="shared" si="1"/>
        <v>1.57617304825</v>
      </c>
    </row>
    <row r="84" spans="1:15" x14ac:dyDescent="0.2">
      <c r="A84" s="6" t="s">
        <v>27</v>
      </c>
      <c r="B84" s="6" t="s">
        <v>227</v>
      </c>
      <c r="C84" s="20">
        <v>2.1391619999999998</v>
      </c>
      <c r="D84" s="20">
        <v>1.5400430000000001</v>
      </c>
      <c r="E84" s="6">
        <v>1.373434689</v>
      </c>
      <c r="F84" s="20">
        <v>1.7908409999999999</v>
      </c>
      <c r="G84" s="20">
        <v>2.4614569999999998</v>
      </c>
      <c r="H84" s="6">
        <v>5.0735020449999997</v>
      </c>
      <c r="I84" s="20">
        <v>3.2354850000000002</v>
      </c>
      <c r="J84" s="6">
        <v>2.4898981550000001</v>
      </c>
      <c r="K84" s="6">
        <v>5.773115325</v>
      </c>
      <c r="L84" s="20">
        <v>2.2730109999999999</v>
      </c>
      <c r="M84" s="6">
        <v>2.049174893</v>
      </c>
      <c r="N84" s="20">
        <v>2.9278780000000002</v>
      </c>
      <c r="O84" s="33">
        <f t="shared" si="1"/>
        <v>2.7605835089166662</v>
      </c>
    </row>
    <row r="85" spans="1:15" x14ac:dyDescent="0.2">
      <c r="A85" s="6" t="s">
        <v>60</v>
      </c>
      <c r="B85" s="6" t="s">
        <v>227</v>
      </c>
      <c r="C85" s="20">
        <v>1.515356E-2</v>
      </c>
      <c r="D85" s="20">
        <v>1.773501E-3</v>
      </c>
      <c r="E85" s="6">
        <v>0</v>
      </c>
      <c r="F85" s="20">
        <v>0</v>
      </c>
      <c r="G85" s="20">
        <v>0</v>
      </c>
      <c r="H85" s="6">
        <v>7.3538409999999999E-3</v>
      </c>
      <c r="I85" s="20">
        <v>1.096157E-2</v>
      </c>
      <c r="J85" s="6">
        <v>1.8903122000000001E-2</v>
      </c>
      <c r="K85" s="6">
        <v>1.132365E-3</v>
      </c>
      <c r="L85" s="20">
        <v>0</v>
      </c>
      <c r="M85" s="6">
        <v>0</v>
      </c>
      <c r="N85" s="20">
        <v>6.2614500000000004E-4</v>
      </c>
      <c r="O85" s="33">
        <f t="shared" si="1"/>
        <v>4.6586753333333333E-3</v>
      </c>
    </row>
    <row r="86" spans="1:15" x14ac:dyDescent="0.2">
      <c r="A86" s="6" t="s">
        <v>60</v>
      </c>
      <c r="B86" s="6" t="s">
        <v>61</v>
      </c>
      <c r="C86" s="20">
        <v>5.8084660000000003E-2</v>
      </c>
      <c r="D86" s="20">
        <v>1.7854169999999999E-2</v>
      </c>
      <c r="E86" s="6">
        <v>0</v>
      </c>
      <c r="F86" s="20">
        <v>7.1562730000000003E-3</v>
      </c>
      <c r="G86" s="20">
        <v>0</v>
      </c>
      <c r="H86" s="6">
        <v>3.0965160000000001E-3</v>
      </c>
      <c r="I86" s="20">
        <v>0.10570549999999999</v>
      </c>
      <c r="J86" s="6">
        <v>3.7145506000000002E-2</v>
      </c>
      <c r="K86" s="6">
        <v>6.6379439999999998E-3</v>
      </c>
      <c r="L86" s="20">
        <v>0</v>
      </c>
      <c r="M86" s="6">
        <v>3.2483439999999998E-3</v>
      </c>
      <c r="N86" s="20">
        <v>8.2682659999999998E-3</v>
      </c>
      <c r="O86" s="33">
        <f t="shared" si="1"/>
        <v>2.0599764916666666E-2</v>
      </c>
    </row>
    <row r="87" spans="1:15" x14ac:dyDescent="0.2">
      <c r="A87" s="6" t="s">
        <v>60</v>
      </c>
      <c r="B87" s="6" t="s">
        <v>215</v>
      </c>
      <c r="C87" s="20">
        <v>0</v>
      </c>
      <c r="D87" s="20">
        <v>0</v>
      </c>
      <c r="E87" s="6">
        <v>0</v>
      </c>
      <c r="F87" s="20">
        <v>2.6089379999999999E-3</v>
      </c>
      <c r="G87" s="20">
        <v>0</v>
      </c>
      <c r="H87" s="6">
        <v>3.0438570000000001E-3</v>
      </c>
      <c r="I87" s="20">
        <v>4.1541969999999998E-2</v>
      </c>
      <c r="J87" s="6">
        <v>2.8274541E-2</v>
      </c>
      <c r="K87" s="6">
        <v>7.3655639999999998E-3</v>
      </c>
      <c r="L87" s="20">
        <v>0</v>
      </c>
      <c r="M87" s="6">
        <v>0</v>
      </c>
      <c r="N87" s="20">
        <v>1.234993E-3</v>
      </c>
      <c r="O87" s="33">
        <f t="shared" si="1"/>
        <v>7.0058219166666677E-3</v>
      </c>
    </row>
    <row r="88" spans="1:15" x14ac:dyDescent="0.2">
      <c r="A88" s="6" t="s">
        <v>35</v>
      </c>
      <c r="B88" s="6" t="s">
        <v>52</v>
      </c>
      <c r="C88" s="20">
        <v>0.99357879999999998</v>
      </c>
      <c r="D88" s="20">
        <v>1.88232</v>
      </c>
      <c r="E88" s="6">
        <v>36.565051324999999</v>
      </c>
      <c r="F88" s="20">
        <v>13.81405</v>
      </c>
      <c r="G88" s="20">
        <v>23.852419999999999</v>
      </c>
      <c r="H88" s="6">
        <v>12.238653256999999</v>
      </c>
      <c r="I88" s="20">
        <v>3.4704229999999998</v>
      </c>
      <c r="J88" s="6">
        <v>11.042844648000001</v>
      </c>
      <c r="K88" s="6">
        <v>3.2020975649999999</v>
      </c>
      <c r="L88" s="20">
        <v>1.1882360000000001</v>
      </c>
      <c r="M88" s="6">
        <v>12.305993635</v>
      </c>
      <c r="N88" s="20">
        <v>26.609680000000001</v>
      </c>
      <c r="O88" s="33">
        <f t="shared" si="1"/>
        <v>12.263779019166668</v>
      </c>
    </row>
    <row r="89" spans="1:15" x14ac:dyDescent="0.2">
      <c r="A89" s="6" t="s">
        <v>35</v>
      </c>
      <c r="B89" s="6" t="s">
        <v>51</v>
      </c>
      <c r="C89" s="20">
        <v>5.0523309999999997</v>
      </c>
      <c r="D89" s="20">
        <v>6.2454780000000003</v>
      </c>
      <c r="E89" s="6">
        <v>11.693581139000001</v>
      </c>
      <c r="F89" s="20">
        <v>15.362500000000001</v>
      </c>
      <c r="G89" s="20">
        <v>1.0725549999999999</v>
      </c>
      <c r="H89" s="6">
        <v>2.0012790269999998</v>
      </c>
      <c r="I89" s="20">
        <v>1.730421</v>
      </c>
      <c r="J89" s="6">
        <v>1.1399556280000001</v>
      </c>
      <c r="K89" s="6">
        <v>1.166633864</v>
      </c>
      <c r="L89" s="20">
        <v>5.9804339999999998E-2</v>
      </c>
      <c r="M89" s="6">
        <v>3.6741463360000002</v>
      </c>
      <c r="N89" s="20">
        <v>5.1649060000000002</v>
      </c>
      <c r="O89" s="33">
        <f t="shared" si="1"/>
        <v>4.5302992778333335</v>
      </c>
    </row>
    <row r="90" spans="1:15" x14ac:dyDescent="0.2">
      <c r="A90" s="6" t="s">
        <v>35</v>
      </c>
      <c r="B90" s="6" t="s">
        <v>54</v>
      </c>
      <c r="C90" s="20">
        <v>2.0483880000000001</v>
      </c>
      <c r="D90" s="20">
        <v>1.396153</v>
      </c>
      <c r="E90" s="6">
        <v>1.986933426</v>
      </c>
      <c r="F90" s="20">
        <v>1.050843</v>
      </c>
      <c r="G90" s="20">
        <v>0.22093119999999999</v>
      </c>
      <c r="H90" s="6">
        <v>0.88483016699999995</v>
      </c>
      <c r="I90" s="20">
        <v>0.92981150000000001</v>
      </c>
      <c r="J90" s="6">
        <v>0.30200369599999999</v>
      </c>
      <c r="K90" s="6">
        <v>0.42668785100000001</v>
      </c>
      <c r="L90" s="20">
        <v>0.90575570000000005</v>
      </c>
      <c r="M90" s="6">
        <v>2.9346160229999998</v>
      </c>
      <c r="N90" s="20">
        <v>3.4768789999999998</v>
      </c>
      <c r="O90" s="33">
        <f t="shared" si="1"/>
        <v>1.3803193802499998</v>
      </c>
    </row>
    <row r="91" spans="1:15" x14ac:dyDescent="0.2">
      <c r="A91" s="6" t="s">
        <v>35</v>
      </c>
      <c r="B91" s="6" t="s">
        <v>227</v>
      </c>
      <c r="C91" s="20">
        <v>4.6915839999999998</v>
      </c>
      <c r="D91" s="20">
        <v>4.4551489999999996</v>
      </c>
      <c r="E91" s="6">
        <v>5.8937041680000002</v>
      </c>
      <c r="F91" s="20">
        <v>7.579008</v>
      </c>
      <c r="G91" s="20">
        <v>5.4517449999999998</v>
      </c>
      <c r="H91" s="6">
        <v>10.512308012</v>
      </c>
      <c r="I91" s="20">
        <v>4.7179979999999997</v>
      </c>
      <c r="J91" s="6">
        <v>8.7207587390000008</v>
      </c>
      <c r="K91" s="6">
        <v>7.1498358350000002</v>
      </c>
      <c r="L91" s="20">
        <v>13.853070000000001</v>
      </c>
      <c r="M91" s="6">
        <v>9.5007682330000005</v>
      </c>
      <c r="N91" s="20">
        <v>8.255471</v>
      </c>
      <c r="O91" s="33">
        <f t="shared" si="1"/>
        <v>7.5651166655833331</v>
      </c>
    </row>
    <row r="92" spans="1:15" x14ac:dyDescent="0.2">
      <c r="A92" s="6" t="s">
        <v>35</v>
      </c>
      <c r="B92" s="6" t="s">
        <v>58</v>
      </c>
      <c r="C92" s="20">
        <v>1.8672500000000001</v>
      </c>
      <c r="D92" s="20">
        <v>2.4679470000000001</v>
      </c>
      <c r="E92" s="6">
        <v>3.582065541</v>
      </c>
      <c r="F92" s="20">
        <v>3.6311360000000001</v>
      </c>
      <c r="G92" s="20">
        <v>2.1955969999999998</v>
      </c>
      <c r="H92" s="6">
        <v>1.5207721089999999</v>
      </c>
      <c r="I92" s="20">
        <v>1.3881110000000001</v>
      </c>
      <c r="J92" s="6">
        <v>0.71305771699999998</v>
      </c>
      <c r="K92" s="6">
        <v>1.6254563310000001</v>
      </c>
      <c r="L92" s="20">
        <v>3.2717890000000001</v>
      </c>
      <c r="M92" s="6">
        <v>1.129765108</v>
      </c>
      <c r="N92" s="20">
        <v>1.027695</v>
      </c>
      <c r="O92" s="33">
        <f t="shared" si="1"/>
        <v>2.0350534838333334</v>
      </c>
    </row>
    <row r="93" spans="1:15" x14ac:dyDescent="0.2">
      <c r="A93" s="6" t="s">
        <v>64</v>
      </c>
      <c r="B93" s="6" t="s">
        <v>229</v>
      </c>
      <c r="C93" s="20">
        <v>0</v>
      </c>
      <c r="D93" s="20">
        <v>0</v>
      </c>
      <c r="E93" s="6">
        <v>0</v>
      </c>
      <c r="F93" s="20">
        <v>0</v>
      </c>
      <c r="G93" s="20">
        <v>0</v>
      </c>
      <c r="H93" s="6">
        <v>1.6993170000000001E-3</v>
      </c>
      <c r="I93" s="20">
        <v>0</v>
      </c>
      <c r="J93" s="6">
        <v>1.4955217999999999E-2</v>
      </c>
      <c r="K93" s="6">
        <v>1.7587410000000001E-2</v>
      </c>
      <c r="L93" s="20">
        <v>0</v>
      </c>
      <c r="M93" s="6">
        <v>0</v>
      </c>
      <c r="N93" s="20">
        <v>0.23317959999999999</v>
      </c>
      <c r="O93" s="33">
        <f t="shared" si="1"/>
        <v>2.2285128749999997E-2</v>
      </c>
    </row>
    <row r="94" spans="1:15" x14ac:dyDescent="0.2">
      <c r="A94" s="6" t="s">
        <v>64</v>
      </c>
      <c r="B94" s="6" t="s">
        <v>44</v>
      </c>
      <c r="C94" s="20">
        <v>0.314944</v>
      </c>
      <c r="D94" s="20">
        <v>0.1529489</v>
      </c>
      <c r="E94" s="6">
        <v>2.7510021999999999E-2</v>
      </c>
      <c r="F94" s="20">
        <v>1.796909E-2</v>
      </c>
      <c r="G94" s="20">
        <v>0</v>
      </c>
      <c r="H94" s="6">
        <v>7.9342449999999995E-3</v>
      </c>
      <c r="I94" s="20">
        <v>3.302886E-2</v>
      </c>
      <c r="J94" s="6">
        <v>8.9778199999999992E-3</v>
      </c>
      <c r="K94" s="6">
        <v>4.852912E-3</v>
      </c>
      <c r="L94" s="20">
        <v>0.23525699999999999</v>
      </c>
      <c r="M94" s="6">
        <v>0</v>
      </c>
      <c r="N94" s="20">
        <v>5.683352E-3</v>
      </c>
      <c r="O94" s="33">
        <f t="shared" si="1"/>
        <v>6.7425516750000011E-2</v>
      </c>
    </row>
    <row r="95" spans="1:15" x14ac:dyDescent="0.2">
      <c r="A95" s="6" t="s">
        <v>64</v>
      </c>
      <c r="B95" s="6" t="s">
        <v>46</v>
      </c>
      <c r="C95" s="20">
        <v>2.0247279999999999E-2</v>
      </c>
      <c r="D95" s="20">
        <v>1.7173819999999999E-3</v>
      </c>
      <c r="E95" s="6">
        <v>0</v>
      </c>
      <c r="F95" s="20">
        <v>1.033197E-3</v>
      </c>
      <c r="G95" s="20">
        <v>5.2328660000000001E-3</v>
      </c>
      <c r="H95" s="6">
        <v>0.175839895</v>
      </c>
      <c r="I95" s="20">
        <v>4.5603650000000003E-2</v>
      </c>
      <c r="J95" s="6">
        <v>3.7541025999999998E-2</v>
      </c>
      <c r="K95" s="6">
        <v>3.6804181999999998E-2</v>
      </c>
      <c r="L95" s="20">
        <v>8.8790359999999999E-3</v>
      </c>
      <c r="M95" s="6">
        <v>0</v>
      </c>
      <c r="N95" s="20">
        <v>1.8780509999999999E-3</v>
      </c>
      <c r="O95" s="33">
        <f t="shared" si="1"/>
        <v>2.7898047083333332E-2</v>
      </c>
    </row>
    <row r="96" spans="1:15" x14ac:dyDescent="0.2">
      <c r="A96" s="6" t="s">
        <v>16</v>
      </c>
      <c r="B96" s="6" t="s">
        <v>42</v>
      </c>
      <c r="C96" s="20">
        <v>4.4294479999999997E-2</v>
      </c>
      <c r="D96" s="20">
        <v>2.8571280000000001E-2</v>
      </c>
      <c r="E96" s="6">
        <v>0</v>
      </c>
      <c r="F96" s="20">
        <v>2.5171490000000001E-2</v>
      </c>
      <c r="G96" s="20">
        <v>2.7992030000000001E-3</v>
      </c>
      <c r="H96" s="6">
        <v>1.6977793000000001E-2</v>
      </c>
      <c r="I96" s="20">
        <v>0.13234760000000001</v>
      </c>
      <c r="J96" s="6">
        <v>5.8705420000000001E-2</v>
      </c>
      <c r="K96" s="6">
        <v>3.3408238999999999E-2</v>
      </c>
      <c r="L96" s="20">
        <v>3.2798809999999998E-2</v>
      </c>
      <c r="M96" s="6">
        <v>1.9634201E-2</v>
      </c>
      <c r="N96" s="20">
        <v>3.796422E-2</v>
      </c>
      <c r="O96" s="33">
        <f t="shared" si="1"/>
        <v>3.605606133333334E-2</v>
      </c>
    </row>
    <row r="97" spans="1:15" x14ac:dyDescent="0.2">
      <c r="A97" s="6" t="s">
        <v>16</v>
      </c>
      <c r="B97" s="6" t="s">
        <v>41</v>
      </c>
      <c r="C97" s="20">
        <v>0</v>
      </c>
      <c r="D97" s="20">
        <v>0</v>
      </c>
      <c r="E97" s="6">
        <v>0</v>
      </c>
      <c r="F97" s="20">
        <v>0</v>
      </c>
      <c r="G97" s="20">
        <v>0</v>
      </c>
      <c r="H97" s="6">
        <v>0</v>
      </c>
      <c r="I97" s="20">
        <v>1.3391589999999999E-3</v>
      </c>
      <c r="J97" s="6">
        <v>8.1134787999999999E-2</v>
      </c>
      <c r="K97" s="6">
        <v>7.2343964999999996E-2</v>
      </c>
      <c r="L97" s="20">
        <v>0</v>
      </c>
      <c r="M97" s="6">
        <v>0</v>
      </c>
      <c r="N97" s="20">
        <v>0</v>
      </c>
      <c r="O97" s="33">
        <f t="shared" si="1"/>
        <v>1.2901492666666667E-2</v>
      </c>
    </row>
    <row r="98" spans="1:15" x14ac:dyDescent="0.2">
      <c r="A98" s="6" t="s">
        <v>16</v>
      </c>
      <c r="B98" s="6" t="s">
        <v>40</v>
      </c>
      <c r="C98" s="20">
        <v>0</v>
      </c>
      <c r="D98" s="20">
        <v>0</v>
      </c>
      <c r="E98" s="6">
        <v>0</v>
      </c>
      <c r="F98" s="20">
        <v>0</v>
      </c>
      <c r="G98" s="20">
        <v>0</v>
      </c>
      <c r="H98" s="6">
        <v>0</v>
      </c>
      <c r="I98" s="20">
        <v>6.2237819999999998E-3</v>
      </c>
      <c r="J98" s="6">
        <v>5.5404802000000003E-2</v>
      </c>
      <c r="K98" s="6">
        <v>1.4420362000000001E-2</v>
      </c>
      <c r="L98" s="20">
        <v>0</v>
      </c>
      <c r="M98" s="6">
        <v>4.0036380000000003E-3</v>
      </c>
      <c r="N98" s="20">
        <v>0</v>
      </c>
      <c r="O98" s="33">
        <f t="shared" si="1"/>
        <v>6.6710486666666678E-3</v>
      </c>
    </row>
    <row r="99" spans="1:15" x14ac:dyDescent="0.2">
      <c r="A99" s="6" t="s">
        <v>16</v>
      </c>
      <c r="B99" s="6" t="s">
        <v>228</v>
      </c>
      <c r="C99" s="20">
        <v>6.3473580000000002E-2</v>
      </c>
      <c r="D99" s="20">
        <v>2.47729E-2</v>
      </c>
      <c r="E99" s="6">
        <v>0</v>
      </c>
      <c r="F99" s="20">
        <v>9.9151159999999999E-3</v>
      </c>
      <c r="G99" s="20">
        <v>0</v>
      </c>
      <c r="H99" s="6">
        <v>0</v>
      </c>
      <c r="I99" s="20">
        <v>2.18701E-2</v>
      </c>
      <c r="J99" s="6">
        <v>1.3299340000000001E-3</v>
      </c>
      <c r="K99" s="6">
        <v>0</v>
      </c>
      <c r="L99" s="20">
        <v>0</v>
      </c>
      <c r="M99" s="6">
        <v>2.2788565E-2</v>
      </c>
      <c r="N99" s="20">
        <v>0.1029653</v>
      </c>
      <c r="O99" s="33">
        <f t="shared" si="1"/>
        <v>2.0592957916666668E-2</v>
      </c>
    </row>
    <row r="100" spans="1:15" x14ac:dyDescent="0.2">
      <c r="A100" s="6" t="s">
        <v>29</v>
      </c>
      <c r="B100" s="6" t="s">
        <v>229</v>
      </c>
      <c r="C100" s="20">
        <v>9.3295219999999998E-3</v>
      </c>
      <c r="D100" s="20">
        <v>0</v>
      </c>
      <c r="E100" s="6">
        <v>0</v>
      </c>
      <c r="F100" s="20">
        <v>0</v>
      </c>
      <c r="G100" s="20">
        <v>0</v>
      </c>
      <c r="H100" s="6">
        <v>1.1468947E-2</v>
      </c>
      <c r="I100" s="20">
        <v>1.8346160000000001E-3</v>
      </c>
      <c r="J100" s="6">
        <v>0</v>
      </c>
      <c r="K100" s="6">
        <v>0</v>
      </c>
      <c r="L100" s="20">
        <v>0</v>
      </c>
      <c r="M100" s="6">
        <v>0</v>
      </c>
      <c r="N100" s="20">
        <v>0</v>
      </c>
      <c r="O100" s="33">
        <f t="shared" si="1"/>
        <v>1.8860904166666667E-3</v>
      </c>
    </row>
    <row r="101" spans="1:15" x14ac:dyDescent="0.2">
      <c r="A101" s="6" t="s">
        <v>29</v>
      </c>
      <c r="B101" s="6" t="s">
        <v>44</v>
      </c>
      <c r="C101" s="20">
        <v>4.9868660000000004E-3</v>
      </c>
      <c r="D101" s="20">
        <v>0</v>
      </c>
      <c r="E101" s="6">
        <v>0</v>
      </c>
      <c r="F101" s="20">
        <v>1.005522E-3</v>
      </c>
      <c r="G101" s="20">
        <v>0</v>
      </c>
      <c r="H101" s="6">
        <v>3.5211336000000003E-2</v>
      </c>
      <c r="I101" s="20">
        <v>2.7957429999999998E-2</v>
      </c>
      <c r="J101" s="6">
        <v>8.2259849999999999E-3</v>
      </c>
      <c r="K101" s="6">
        <v>3.6732111999999997E-2</v>
      </c>
      <c r="L101" s="20">
        <v>0.27756730000000002</v>
      </c>
      <c r="M101" s="6">
        <v>4.8549302000000003E-2</v>
      </c>
      <c r="N101" s="20">
        <v>0.19154270000000001</v>
      </c>
      <c r="O101" s="33">
        <f t="shared" si="1"/>
        <v>5.2648212750000006E-2</v>
      </c>
    </row>
    <row r="102" spans="1:15" x14ac:dyDescent="0.2">
      <c r="A102" s="6" t="s">
        <v>29</v>
      </c>
      <c r="B102" s="6" t="s">
        <v>65</v>
      </c>
      <c r="C102" s="20">
        <v>6.11116E-3</v>
      </c>
      <c r="D102" s="20">
        <v>0</v>
      </c>
      <c r="E102" s="6">
        <v>0</v>
      </c>
      <c r="F102" s="20">
        <v>0</v>
      </c>
      <c r="G102" s="20">
        <v>0</v>
      </c>
      <c r="H102" s="6">
        <v>0</v>
      </c>
      <c r="I102" s="20">
        <v>0</v>
      </c>
      <c r="J102" s="6">
        <v>1.4087301999999999E-2</v>
      </c>
      <c r="K102" s="6">
        <v>0</v>
      </c>
      <c r="L102" s="20">
        <v>0</v>
      </c>
      <c r="M102" s="6">
        <v>0</v>
      </c>
      <c r="N102" s="20">
        <v>4.5548300000000002E-3</v>
      </c>
      <c r="O102" s="33">
        <f t="shared" si="1"/>
        <v>2.0627743333333334E-3</v>
      </c>
    </row>
    <row r="103" spans="1:15" x14ac:dyDescent="0.2">
      <c r="A103" s="6" t="s">
        <v>30</v>
      </c>
      <c r="B103" s="6" t="s">
        <v>44</v>
      </c>
      <c r="C103" s="20">
        <v>0.15142449999999999</v>
      </c>
      <c r="D103" s="20">
        <v>0.20398759999999999</v>
      </c>
      <c r="E103" s="6">
        <v>7.4532009999999996E-3</v>
      </c>
      <c r="F103" s="20">
        <v>0.14892569999999999</v>
      </c>
      <c r="G103" s="20">
        <v>2.2499129999999999E-2</v>
      </c>
      <c r="H103" s="6">
        <v>0.92990223100000002</v>
      </c>
      <c r="I103" s="20">
        <v>1.5766359999999999</v>
      </c>
      <c r="J103" s="6">
        <v>1.5772508510000001</v>
      </c>
      <c r="K103" s="6">
        <v>3.3641889840000001</v>
      </c>
      <c r="L103" s="20">
        <v>3.9859</v>
      </c>
      <c r="M103" s="6">
        <v>0.33104218099999999</v>
      </c>
      <c r="N103" s="20">
        <v>0.8183281</v>
      </c>
      <c r="O103" s="33">
        <f t="shared" si="1"/>
        <v>1.0931282065000001</v>
      </c>
    </row>
    <row r="104" spans="1:15" x14ac:dyDescent="0.2">
      <c r="A104" s="6" t="s">
        <v>30</v>
      </c>
      <c r="B104" s="6" t="s">
        <v>45</v>
      </c>
      <c r="C104" s="20">
        <v>1.1998530000000001</v>
      </c>
      <c r="D104" s="20">
        <v>0.79528949999999998</v>
      </c>
      <c r="E104" s="6">
        <v>3.6589124000000001E-2</v>
      </c>
      <c r="F104" s="20">
        <v>0.7386684</v>
      </c>
      <c r="G104" s="20">
        <v>5.7155619999999997E-2</v>
      </c>
      <c r="H104" s="6">
        <v>0.77330485999999998</v>
      </c>
      <c r="I104" s="20">
        <v>0.83814140000000004</v>
      </c>
      <c r="J104" s="6">
        <v>1.8111442680000001</v>
      </c>
      <c r="K104" s="6">
        <v>1.8566433710000001</v>
      </c>
      <c r="L104" s="20">
        <v>7.2056839999999998</v>
      </c>
      <c r="M104" s="6">
        <v>0.90218330199999996</v>
      </c>
      <c r="N104" s="20">
        <v>1.823583</v>
      </c>
      <c r="O104" s="33">
        <f t="shared" si="1"/>
        <v>1.50318665375</v>
      </c>
    </row>
    <row r="105" spans="1:15" x14ac:dyDescent="0.2">
      <c r="A105" s="6" t="s">
        <v>30</v>
      </c>
      <c r="B105" s="6" t="s">
        <v>227</v>
      </c>
      <c r="C105" s="20">
        <v>0.48582550000000002</v>
      </c>
      <c r="D105" s="20">
        <v>0.24408969999999999</v>
      </c>
      <c r="E105" s="6">
        <v>3.3478002E-2</v>
      </c>
      <c r="F105" s="20">
        <v>0.17563889999999999</v>
      </c>
      <c r="G105" s="20">
        <v>0.19503210000000001</v>
      </c>
      <c r="H105" s="6">
        <v>0.18100203600000001</v>
      </c>
      <c r="I105" s="20">
        <v>0.6346193</v>
      </c>
      <c r="J105" s="6">
        <v>0.138152422</v>
      </c>
      <c r="K105" s="6">
        <v>0.27133700399999999</v>
      </c>
      <c r="L105" s="20">
        <v>1.9272199999999999</v>
      </c>
      <c r="M105" s="6">
        <v>0.28857386600000001</v>
      </c>
      <c r="N105" s="20">
        <v>1.1837329999999999</v>
      </c>
      <c r="O105" s="33">
        <f t="shared" si="1"/>
        <v>0.47989181916666662</v>
      </c>
    </row>
    <row r="106" spans="1:15" x14ac:dyDescent="0.2">
      <c r="A106" s="6" t="s">
        <v>30</v>
      </c>
      <c r="B106" s="6" t="s">
        <v>46</v>
      </c>
      <c r="C106" s="20">
        <v>0.18657550000000001</v>
      </c>
      <c r="D106" s="20">
        <v>0.38352629999999999</v>
      </c>
      <c r="E106" s="6">
        <v>0.21524167499999999</v>
      </c>
      <c r="F106" s="20">
        <v>0.52540260000000005</v>
      </c>
      <c r="G106" s="20">
        <v>0.88594329999999999</v>
      </c>
      <c r="H106" s="6">
        <v>3.4000358820000001</v>
      </c>
      <c r="I106" s="20">
        <v>1.9407509999999999</v>
      </c>
      <c r="J106" s="6">
        <v>1.556919012</v>
      </c>
      <c r="K106" s="6">
        <v>1.7645856390000001</v>
      </c>
      <c r="L106" s="20">
        <v>0.75261650000000002</v>
      </c>
      <c r="M106" s="6">
        <v>0.21610536299999999</v>
      </c>
      <c r="N106" s="20">
        <v>0.4576732</v>
      </c>
      <c r="O106" s="33">
        <f t="shared" si="1"/>
        <v>1.0237813309166668</v>
      </c>
    </row>
    <row r="107" spans="1:15" x14ac:dyDescent="0.2">
      <c r="A107" s="6" t="s">
        <v>30</v>
      </c>
      <c r="B107" s="6" t="s">
        <v>55</v>
      </c>
      <c r="C107" s="20">
        <v>3.046855E-2</v>
      </c>
      <c r="D107" s="20">
        <v>4.9224839999999999E-2</v>
      </c>
      <c r="E107" s="6">
        <v>1.0973105E-2</v>
      </c>
      <c r="F107" s="20">
        <v>0.1571468</v>
      </c>
      <c r="G107" s="20">
        <v>1.366391E-2</v>
      </c>
      <c r="H107" s="6">
        <v>0.21207904699999999</v>
      </c>
      <c r="I107" s="20">
        <v>0.15646589999999999</v>
      </c>
      <c r="J107" s="6">
        <v>9.2293929999999996E-2</v>
      </c>
      <c r="K107" s="6">
        <v>7.3887994999999998E-2</v>
      </c>
      <c r="L107" s="20">
        <v>1.4829139999999999E-2</v>
      </c>
      <c r="M107" s="6">
        <v>0</v>
      </c>
      <c r="N107" s="20">
        <v>3.6619299999999999E-3</v>
      </c>
      <c r="O107" s="33">
        <f t="shared" si="1"/>
        <v>6.7891262250000001E-2</v>
      </c>
    </row>
    <row r="108" spans="1:15" x14ac:dyDescent="0.2">
      <c r="A108" s="6" t="s">
        <v>17</v>
      </c>
      <c r="B108" s="6" t="s">
        <v>43</v>
      </c>
      <c r="C108" s="20">
        <v>0</v>
      </c>
      <c r="D108" s="20">
        <v>0</v>
      </c>
      <c r="E108" s="6">
        <v>0</v>
      </c>
      <c r="F108" s="20">
        <v>0</v>
      </c>
      <c r="G108" s="20">
        <v>0</v>
      </c>
      <c r="H108" s="6">
        <v>0</v>
      </c>
      <c r="I108" s="20">
        <v>4.3757120000000004E-3</v>
      </c>
      <c r="J108" s="6">
        <v>1.9144125000000001E-2</v>
      </c>
      <c r="K108" s="6">
        <v>1.9230032000000001E-2</v>
      </c>
      <c r="L108" s="20">
        <v>0</v>
      </c>
      <c r="M108" s="6">
        <v>0</v>
      </c>
      <c r="N108" s="20">
        <v>5.141769E-3</v>
      </c>
      <c r="O108" s="33">
        <f t="shared" si="1"/>
        <v>3.9909698333333334E-3</v>
      </c>
    </row>
    <row r="109" spans="1:15" x14ac:dyDescent="0.2">
      <c r="A109" s="6" t="s">
        <v>66</v>
      </c>
      <c r="B109" s="6" t="s">
        <v>52</v>
      </c>
      <c r="C109" s="20">
        <v>0.14563229999999999</v>
      </c>
      <c r="D109" s="20">
        <v>0.30386479999999999</v>
      </c>
      <c r="E109" s="6">
        <v>0.13615194799999999</v>
      </c>
      <c r="F109" s="20">
        <v>1.1971400000000001</v>
      </c>
      <c r="G109" s="20">
        <v>0.4582966</v>
      </c>
      <c r="H109" s="6">
        <v>2.1838058739999999</v>
      </c>
      <c r="I109" s="20">
        <v>0.81257939999999995</v>
      </c>
      <c r="J109" s="6">
        <v>2.3203473849999998</v>
      </c>
      <c r="K109" s="6">
        <v>0.40979980799999999</v>
      </c>
      <c r="L109" s="20">
        <v>0.10731350000000001</v>
      </c>
      <c r="M109" s="6">
        <v>0.55900105700000002</v>
      </c>
      <c r="N109" s="20">
        <v>1.180258</v>
      </c>
      <c r="O109" s="33">
        <f t="shared" si="1"/>
        <v>0.8178492226666666</v>
      </c>
    </row>
    <row r="110" spans="1:15" x14ac:dyDescent="0.2">
      <c r="A110" s="6" t="s">
        <v>66</v>
      </c>
      <c r="B110" s="6" t="s">
        <v>51</v>
      </c>
      <c r="C110" s="20">
        <v>0.93218230000000002</v>
      </c>
      <c r="D110" s="20">
        <v>1.162749</v>
      </c>
      <c r="E110" s="6">
        <v>0.20750422900000001</v>
      </c>
      <c r="F110" s="20">
        <v>1.162102</v>
      </c>
      <c r="G110" s="20">
        <v>1.510359E-2</v>
      </c>
      <c r="H110" s="6">
        <v>0.50678309899999996</v>
      </c>
      <c r="I110" s="20">
        <v>0.48447210000000002</v>
      </c>
      <c r="J110" s="6">
        <v>0.35301395200000002</v>
      </c>
      <c r="K110" s="6">
        <v>0.474411517</v>
      </c>
      <c r="L110" s="20">
        <v>1.053434E-2</v>
      </c>
      <c r="M110" s="6">
        <v>0.28042879100000001</v>
      </c>
      <c r="N110" s="20">
        <v>0.98817370000000004</v>
      </c>
      <c r="O110" s="33">
        <f t="shared" si="1"/>
        <v>0.54812155150000008</v>
      </c>
    </row>
    <row r="111" spans="1:15" x14ac:dyDescent="0.2">
      <c r="A111" s="6" t="s">
        <v>66</v>
      </c>
      <c r="B111" s="6" t="s">
        <v>49</v>
      </c>
      <c r="C111" s="20">
        <v>1.423357</v>
      </c>
      <c r="D111" s="20">
        <v>1.121184</v>
      </c>
      <c r="E111" s="6">
        <v>6.3828162999999993E-2</v>
      </c>
      <c r="F111" s="20">
        <v>0.68556830000000002</v>
      </c>
      <c r="G111" s="20">
        <v>9.5582250000000001E-3</v>
      </c>
      <c r="H111" s="6">
        <v>0.13032311099999999</v>
      </c>
      <c r="I111" s="20">
        <v>0.75554030000000005</v>
      </c>
      <c r="J111" s="6">
        <v>0.37121443799999998</v>
      </c>
      <c r="K111" s="6">
        <v>1.0184773439999999</v>
      </c>
      <c r="L111" s="20">
        <v>2.179271</v>
      </c>
      <c r="M111" s="6">
        <v>1.0984198039999999</v>
      </c>
      <c r="N111" s="20">
        <v>1.929738</v>
      </c>
      <c r="O111" s="33">
        <f t="shared" si="1"/>
        <v>0.89887330708333335</v>
      </c>
    </row>
    <row r="112" spans="1:15" x14ac:dyDescent="0.2">
      <c r="A112" s="6" t="s">
        <v>66</v>
      </c>
      <c r="B112" s="6" t="s">
        <v>54</v>
      </c>
      <c r="C112" s="20">
        <v>0.2391305</v>
      </c>
      <c r="D112" s="20">
        <v>0.1655875</v>
      </c>
      <c r="E112" s="6">
        <v>2.4595506999999999E-2</v>
      </c>
      <c r="F112" s="20">
        <v>8.4572820000000007E-2</v>
      </c>
      <c r="G112" s="20">
        <v>4.3461150000000002E-3</v>
      </c>
      <c r="H112" s="6">
        <v>0.77113314799999999</v>
      </c>
      <c r="I112" s="20">
        <v>0.44612390000000002</v>
      </c>
      <c r="J112" s="6">
        <v>0.36530968699999999</v>
      </c>
      <c r="K112" s="6">
        <v>0.52706650799999999</v>
      </c>
      <c r="L112" s="20">
        <v>0.26771450000000002</v>
      </c>
      <c r="M112" s="6">
        <v>0.25923441699999999</v>
      </c>
      <c r="N112" s="20">
        <v>0.478462</v>
      </c>
      <c r="O112" s="33">
        <f t="shared" si="1"/>
        <v>0.30277305016666661</v>
      </c>
    </row>
    <row r="113" spans="1:15" x14ac:dyDescent="0.2">
      <c r="A113" s="6" t="s">
        <v>66</v>
      </c>
      <c r="B113" s="6" t="s">
        <v>227</v>
      </c>
      <c r="C113" s="20">
        <v>0.30307650000000003</v>
      </c>
      <c r="D113" s="20">
        <v>0.14552590000000001</v>
      </c>
      <c r="E113" s="6">
        <v>8.0078530000000005E-3</v>
      </c>
      <c r="F113" s="20">
        <v>6.3182989999999994E-2</v>
      </c>
      <c r="G113" s="20">
        <v>2.1880480000000002E-3</v>
      </c>
      <c r="H113" s="6">
        <v>0.151426005</v>
      </c>
      <c r="I113" s="20">
        <v>0.14663979999999999</v>
      </c>
      <c r="J113" s="6">
        <v>0.160639062</v>
      </c>
      <c r="K113" s="6">
        <v>0.34392485499999997</v>
      </c>
      <c r="L113" s="20">
        <v>0.62742039999999999</v>
      </c>
      <c r="M113" s="6">
        <v>0.720191888</v>
      </c>
      <c r="N113" s="20">
        <v>0.97053049999999996</v>
      </c>
      <c r="O113" s="33">
        <f t="shared" si="1"/>
        <v>0.30356281675000002</v>
      </c>
    </row>
    <row r="114" spans="1:15" x14ac:dyDescent="0.2">
      <c r="A114" s="8" t="s">
        <v>221</v>
      </c>
      <c r="B114" s="6" t="s">
        <v>227</v>
      </c>
      <c r="C114" s="6">
        <v>4.4109238</v>
      </c>
      <c r="D114" s="6">
        <v>4.0959513000000003</v>
      </c>
      <c r="E114" s="6">
        <v>0.55306559</v>
      </c>
      <c r="F114" s="6">
        <v>3.8727573</v>
      </c>
      <c r="G114" s="6">
        <v>0.40868410199999999</v>
      </c>
      <c r="H114" s="6">
        <v>2.8521825000000001</v>
      </c>
      <c r="I114" s="6">
        <v>3.4539494999999998</v>
      </c>
      <c r="J114" s="6">
        <v>1.7838590000000001</v>
      </c>
      <c r="K114" s="6">
        <v>1.6304232999999999</v>
      </c>
      <c r="L114" s="6">
        <v>0.5016583</v>
      </c>
      <c r="M114" s="6">
        <v>1.5597335000000001</v>
      </c>
      <c r="N114" s="6">
        <v>4.2247250000000003</v>
      </c>
      <c r="O114" s="33">
        <f t="shared" si="1"/>
        <v>2.4456594326666665</v>
      </c>
    </row>
    <row r="115" spans="1:15" x14ac:dyDescent="0.2">
      <c r="A115" s="8" t="s">
        <v>221</v>
      </c>
      <c r="B115" s="6" t="s">
        <v>58</v>
      </c>
      <c r="C115" s="6">
        <v>0.68514980000000003</v>
      </c>
      <c r="D115" s="6">
        <v>0.88283809999999996</v>
      </c>
      <c r="E115" s="6">
        <v>0.11853856</v>
      </c>
      <c r="F115" s="6">
        <v>0.73744100000000001</v>
      </c>
      <c r="G115" s="6">
        <v>4.102712E-2</v>
      </c>
      <c r="H115" s="6">
        <v>0.78080050000000001</v>
      </c>
      <c r="I115" s="6">
        <v>0.88557799999999998</v>
      </c>
      <c r="J115" s="6">
        <v>0.386963</v>
      </c>
      <c r="K115" s="6">
        <v>1.8320981999999999</v>
      </c>
      <c r="L115" s="6">
        <v>0.20293649999999999</v>
      </c>
      <c r="M115" s="6">
        <v>0.28309410000000002</v>
      </c>
      <c r="N115" s="6">
        <v>0.58532519999999999</v>
      </c>
      <c r="O115" s="33">
        <f t="shared" si="1"/>
        <v>0.6184825066666666</v>
      </c>
    </row>
    <row r="116" spans="1:15" x14ac:dyDescent="0.2">
      <c r="A116" s="8" t="s">
        <v>221</v>
      </c>
      <c r="B116" s="6" t="s">
        <v>210</v>
      </c>
      <c r="C116" s="6">
        <v>1.3273823</v>
      </c>
      <c r="D116" s="6">
        <v>1.0280809</v>
      </c>
      <c r="E116" s="6">
        <v>1.283048E-2</v>
      </c>
      <c r="F116" s="6">
        <v>0.55725429999999998</v>
      </c>
      <c r="G116" s="6">
        <v>4.5078940000000001E-3</v>
      </c>
      <c r="H116" s="6">
        <v>0.1127841</v>
      </c>
      <c r="I116" s="6">
        <v>0.81251090000000004</v>
      </c>
      <c r="J116" s="6">
        <v>0.34303030000000001</v>
      </c>
      <c r="K116" s="6">
        <v>0.9291239</v>
      </c>
      <c r="L116" s="6">
        <v>1.3063517</v>
      </c>
      <c r="M116" s="6">
        <v>0.99600540000000004</v>
      </c>
      <c r="N116" s="6">
        <v>2.0669439999999999</v>
      </c>
      <c r="O116" s="33">
        <f t="shared" si="1"/>
        <v>0.79140051449999993</v>
      </c>
    </row>
    <row r="117" spans="1:15" x14ac:dyDescent="0.2">
      <c r="A117" s="8" t="s">
        <v>221</v>
      </c>
      <c r="B117" s="6" t="s">
        <v>45</v>
      </c>
      <c r="C117" s="6">
        <v>2.3360734999999999</v>
      </c>
      <c r="D117" s="6">
        <v>1.5249630999999999</v>
      </c>
      <c r="E117" s="6">
        <v>0.36130145000000002</v>
      </c>
      <c r="F117" s="6">
        <v>1.6146518999999999</v>
      </c>
      <c r="G117" s="6">
        <v>0.23909444799999999</v>
      </c>
      <c r="H117" s="6">
        <v>1.0548355</v>
      </c>
      <c r="I117" s="6">
        <v>1.4794764</v>
      </c>
      <c r="J117" s="6">
        <v>2.8540236999999999</v>
      </c>
      <c r="K117" s="6">
        <v>2.6293624000000002</v>
      </c>
      <c r="L117" s="6">
        <v>20.500256799999999</v>
      </c>
      <c r="M117" s="6">
        <v>3.8309261999999999</v>
      </c>
      <c r="N117" s="6">
        <v>5.5752658999999998</v>
      </c>
      <c r="O117" s="33">
        <f t="shared" si="1"/>
        <v>3.6666859414999995</v>
      </c>
    </row>
    <row r="118" spans="1:15" x14ac:dyDescent="0.2">
      <c r="A118" s="8" t="s">
        <v>221</v>
      </c>
      <c r="B118" s="6" t="s">
        <v>54</v>
      </c>
      <c r="C118" s="6">
        <v>1.5557787999999999</v>
      </c>
      <c r="D118" s="6">
        <v>1.8648937000000001</v>
      </c>
      <c r="E118" s="6">
        <v>2.5942987199999998</v>
      </c>
      <c r="F118" s="6">
        <v>4.6293063999999999</v>
      </c>
      <c r="G118" s="6">
        <v>4.397106451</v>
      </c>
      <c r="H118" s="6">
        <v>9.8271107000000004</v>
      </c>
      <c r="I118" s="6">
        <v>4.8330387999999997</v>
      </c>
      <c r="J118" s="6">
        <v>7.5274331999999999</v>
      </c>
      <c r="K118" s="6">
        <v>3.3491228</v>
      </c>
      <c r="L118" s="6">
        <v>1.0653598</v>
      </c>
      <c r="M118" s="6">
        <v>3.2115361</v>
      </c>
      <c r="N118" s="6">
        <v>4.4589337000000002</v>
      </c>
      <c r="O118" s="33">
        <f t="shared" si="1"/>
        <v>4.1094932642500011</v>
      </c>
    </row>
    <row r="119" spans="1:15" x14ac:dyDescent="0.2">
      <c r="A119" s="8" t="s">
        <v>221</v>
      </c>
      <c r="B119" s="6" t="s">
        <v>46</v>
      </c>
      <c r="C119" s="6">
        <v>1.2784734</v>
      </c>
      <c r="D119" s="6">
        <v>1.4996052</v>
      </c>
      <c r="E119" s="6">
        <v>1.5385666200000001</v>
      </c>
      <c r="F119" s="6">
        <v>2.1916215000000001</v>
      </c>
      <c r="G119" s="6">
        <v>3.621209119</v>
      </c>
      <c r="H119" s="6">
        <v>9.0934585999999999</v>
      </c>
      <c r="I119" s="6">
        <v>8.0625488999999995</v>
      </c>
      <c r="J119" s="6">
        <v>6.1221879000000001</v>
      </c>
      <c r="K119" s="6">
        <v>7.7731377999999998</v>
      </c>
      <c r="L119" s="6">
        <v>11.4412921</v>
      </c>
      <c r="M119" s="6">
        <v>1.3771442</v>
      </c>
      <c r="N119" s="6">
        <v>2.9922149</v>
      </c>
      <c r="O119" s="33">
        <f t="shared" si="1"/>
        <v>4.7492883532499999</v>
      </c>
    </row>
    <row r="120" spans="1:15" x14ac:dyDescent="0.2">
      <c r="A120" s="8" t="s">
        <v>222</v>
      </c>
      <c r="B120" s="6" t="s">
        <v>227</v>
      </c>
      <c r="C120" s="6">
        <v>3.9248945000000002</v>
      </c>
      <c r="D120" s="6">
        <v>3.9682738</v>
      </c>
      <c r="E120" s="6">
        <v>0.4687692</v>
      </c>
      <c r="F120" s="6">
        <v>2.9732541000000001</v>
      </c>
      <c r="G120" s="6">
        <v>0.52435026200000001</v>
      </c>
      <c r="H120" s="6">
        <v>3.0043248500000002</v>
      </c>
      <c r="I120" s="6">
        <v>3.2886226999999999</v>
      </c>
      <c r="J120" s="6">
        <v>2.1683490000000001</v>
      </c>
      <c r="K120" s="6">
        <v>2.6805669000000001</v>
      </c>
      <c r="L120" s="6">
        <v>2.8073617999999998</v>
      </c>
      <c r="M120" s="6">
        <v>2.8488825900000001</v>
      </c>
      <c r="N120" s="6">
        <v>5.3228105000000001</v>
      </c>
      <c r="O120" s="33">
        <f t="shared" si="1"/>
        <v>2.8317050168333329</v>
      </c>
    </row>
    <row r="121" spans="1:15" x14ac:dyDescent="0.2">
      <c r="A121" s="8" t="s">
        <v>222</v>
      </c>
      <c r="B121" s="6" t="s">
        <v>58</v>
      </c>
      <c r="C121" s="6">
        <v>0.40003040000000001</v>
      </c>
      <c r="D121" s="6">
        <v>0.51078250000000003</v>
      </c>
      <c r="E121" s="6">
        <v>0.11182499999999999</v>
      </c>
      <c r="F121" s="6">
        <v>0.43481609999999998</v>
      </c>
      <c r="G121" s="6">
        <v>3.8134986000000003E-2</v>
      </c>
      <c r="H121" s="6">
        <v>0.40559638999999997</v>
      </c>
      <c r="I121" s="6">
        <v>0.44850990000000002</v>
      </c>
      <c r="J121" s="6">
        <v>0.22562399999999999</v>
      </c>
      <c r="K121" s="6">
        <v>0.69644974999999998</v>
      </c>
      <c r="L121" s="6">
        <v>0.191555</v>
      </c>
      <c r="M121" s="6">
        <v>0.12346913</v>
      </c>
      <c r="N121" s="6">
        <v>0.32655230000000002</v>
      </c>
      <c r="O121" s="33">
        <f t="shared" si="1"/>
        <v>0.32611212133333328</v>
      </c>
    </row>
    <row r="122" spans="1:15" x14ac:dyDescent="0.2">
      <c r="A122" s="8" t="s">
        <v>222</v>
      </c>
      <c r="B122" s="6" t="s">
        <v>61</v>
      </c>
      <c r="C122" s="6">
        <v>1.5663631</v>
      </c>
      <c r="D122" s="6">
        <v>0.99069810000000003</v>
      </c>
      <c r="E122" s="6">
        <v>0.15454129999999999</v>
      </c>
      <c r="F122" s="6">
        <v>0.21040020000000001</v>
      </c>
      <c r="G122" s="6">
        <v>1.145082E-3</v>
      </c>
      <c r="H122" s="6">
        <v>4.5168010000000001E-2</v>
      </c>
      <c r="I122" s="6">
        <v>0.91897430000000002</v>
      </c>
      <c r="J122" s="6">
        <v>8.8219000000000006E-2</v>
      </c>
      <c r="K122" s="6">
        <v>4.3863720000000002E-2</v>
      </c>
      <c r="L122" s="6">
        <v>0.47152250000000001</v>
      </c>
      <c r="M122" s="6">
        <v>1.3255360000000001E-2</v>
      </c>
      <c r="N122" s="6">
        <v>0.21638779999999999</v>
      </c>
      <c r="O122" s="33">
        <f t="shared" si="1"/>
        <v>0.3933782059999999</v>
      </c>
    </row>
    <row r="123" spans="1:15" x14ac:dyDescent="0.2">
      <c r="A123" s="8" t="s">
        <v>222</v>
      </c>
      <c r="B123" s="6" t="s">
        <v>47</v>
      </c>
      <c r="C123" s="6">
        <v>0.10978060000000001</v>
      </c>
      <c r="D123" s="6">
        <v>0.2086489</v>
      </c>
      <c r="E123" s="6">
        <v>2.1699674999999998</v>
      </c>
      <c r="F123" s="6">
        <v>1.0357883000000001</v>
      </c>
      <c r="G123" s="6">
        <v>4.7584433410000004</v>
      </c>
      <c r="H123" s="6">
        <v>0.71645137999999997</v>
      </c>
      <c r="I123" s="6">
        <v>0.3295998</v>
      </c>
      <c r="J123" s="6">
        <v>1.5647580000000001</v>
      </c>
      <c r="K123" s="6">
        <v>0.69072820000000001</v>
      </c>
      <c r="L123" s="6">
        <v>0.4908324</v>
      </c>
      <c r="M123" s="6">
        <v>0.61118760999999999</v>
      </c>
      <c r="N123" s="6">
        <v>0.8605332</v>
      </c>
      <c r="O123" s="33">
        <f t="shared" si="1"/>
        <v>1.1288932692500002</v>
      </c>
    </row>
    <row r="124" spans="1:15" x14ac:dyDescent="0.2">
      <c r="A124" s="8" t="s">
        <v>222</v>
      </c>
      <c r="B124" s="6" t="s">
        <v>54</v>
      </c>
      <c r="C124" s="6">
        <v>2.3032159000000001</v>
      </c>
      <c r="D124" s="6">
        <v>2.0342068000000002</v>
      </c>
      <c r="E124" s="6">
        <v>3.7686715</v>
      </c>
      <c r="F124" s="6">
        <v>5.0135411000000003</v>
      </c>
      <c r="G124" s="6">
        <v>6.1779994580000004</v>
      </c>
      <c r="H124" s="6">
        <v>10.90699843</v>
      </c>
      <c r="I124" s="6">
        <v>5.4939111</v>
      </c>
      <c r="J124" s="6">
        <v>7.7399870000000002</v>
      </c>
      <c r="K124" s="6">
        <v>5.1836710899999998</v>
      </c>
      <c r="L124" s="6">
        <v>1.5802646</v>
      </c>
      <c r="M124" s="6">
        <v>5.1030228299999996</v>
      </c>
      <c r="N124" s="6">
        <v>4.6693569000000004</v>
      </c>
      <c r="O124" s="33">
        <f t="shared" si="1"/>
        <v>4.9979038923333334</v>
      </c>
    </row>
    <row r="125" spans="1:15" x14ac:dyDescent="0.2">
      <c r="A125" s="8" t="s">
        <v>222</v>
      </c>
      <c r="B125" s="6" t="s">
        <v>46</v>
      </c>
      <c r="C125" s="6">
        <v>1.2400523000000001</v>
      </c>
      <c r="D125" s="6">
        <v>1.0401590000000001</v>
      </c>
      <c r="E125" s="6">
        <v>1.6449166</v>
      </c>
      <c r="F125" s="6">
        <v>2.1224683</v>
      </c>
      <c r="G125" s="6">
        <v>8.996344058</v>
      </c>
      <c r="H125" s="6">
        <v>11.270040460000001</v>
      </c>
      <c r="I125" s="6">
        <v>8.5125407000000006</v>
      </c>
      <c r="J125" s="6">
        <v>7.423845</v>
      </c>
      <c r="K125" s="6">
        <v>9.6828061400000003</v>
      </c>
      <c r="L125" s="6">
        <v>14.0436862</v>
      </c>
      <c r="M125" s="6">
        <v>2.1315825500000001</v>
      </c>
      <c r="N125" s="6">
        <v>2.9160758000000002</v>
      </c>
      <c r="O125" s="33">
        <f t="shared" si="1"/>
        <v>5.9187097590000013</v>
      </c>
    </row>
    <row r="126" spans="1:15" x14ac:dyDescent="0.2">
      <c r="A126" s="8" t="s">
        <v>223</v>
      </c>
      <c r="B126" s="6" t="s">
        <v>227</v>
      </c>
      <c r="C126" s="6">
        <v>5.0652409999999998E-3</v>
      </c>
      <c r="D126" s="6">
        <v>4.8761660000000004E-3</v>
      </c>
      <c r="E126" s="6">
        <v>0</v>
      </c>
      <c r="F126" s="6">
        <v>2.5277059999999998E-3</v>
      </c>
      <c r="G126" s="6">
        <v>5.6498270000000003E-4</v>
      </c>
      <c r="H126" s="6">
        <v>0.33771909999999999</v>
      </c>
      <c r="I126" s="6">
        <v>8.4900379999999998E-2</v>
      </c>
      <c r="J126" s="6">
        <v>0.10437200000000001</v>
      </c>
      <c r="K126" s="6">
        <v>7.4456129999999995E-2</v>
      </c>
      <c r="L126" s="6">
        <v>0</v>
      </c>
      <c r="M126" s="6">
        <v>1.8022679999999999E-2</v>
      </c>
      <c r="N126" s="6">
        <v>2.9493889999999998E-2</v>
      </c>
      <c r="O126" s="33">
        <f t="shared" si="1"/>
        <v>5.5166522974999993E-2</v>
      </c>
    </row>
    <row r="127" spans="1:15" x14ac:dyDescent="0.2">
      <c r="A127" s="8" t="s">
        <v>223</v>
      </c>
      <c r="B127" s="6" t="s">
        <v>54</v>
      </c>
      <c r="C127" s="6">
        <v>3.7219900000000001E-3</v>
      </c>
      <c r="D127" s="6">
        <v>1.2366199999999999E-3</v>
      </c>
      <c r="E127" s="6">
        <v>0</v>
      </c>
      <c r="F127" s="6">
        <v>2.5277059999999998E-3</v>
      </c>
      <c r="G127" s="6">
        <v>5.6498270000000003E-4</v>
      </c>
      <c r="H127" s="6">
        <v>0.33771909999999999</v>
      </c>
      <c r="I127" s="6">
        <v>8.4900379999999998E-2</v>
      </c>
      <c r="J127" s="6">
        <v>0.10359889999999999</v>
      </c>
      <c r="K127" s="6">
        <v>7.4456129999999995E-2</v>
      </c>
      <c r="L127" s="6">
        <v>0</v>
      </c>
      <c r="M127" s="6">
        <v>1.2252330000000001E-2</v>
      </c>
      <c r="N127" s="6">
        <v>0</v>
      </c>
      <c r="O127" s="33">
        <f t="shared" si="1"/>
        <v>5.1748178224999997E-2</v>
      </c>
    </row>
    <row r="128" spans="1:15" x14ac:dyDescent="0.2">
      <c r="A128" s="8" t="s">
        <v>223</v>
      </c>
      <c r="B128" s="6" t="s">
        <v>230</v>
      </c>
      <c r="C128" s="6">
        <v>0.44096245699999997</v>
      </c>
      <c r="D128" s="6">
        <v>0.53734510300000005</v>
      </c>
      <c r="E128" s="6">
        <v>0</v>
      </c>
      <c r="F128" s="6">
        <v>0.60041332300000005</v>
      </c>
      <c r="G128" s="6">
        <v>0</v>
      </c>
      <c r="H128" s="6">
        <v>0.28946499999999997</v>
      </c>
      <c r="I128" s="6">
        <v>0.2702156</v>
      </c>
      <c r="J128" s="6">
        <v>0.18534539999999999</v>
      </c>
      <c r="K128" s="6">
        <v>0.18610143000000001</v>
      </c>
      <c r="L128" s="6">
        <v>0</v>
      </c>
      <c r="M128" s="6">
        <v>9.6449419999999994E-2</v>
      </c>
      <c r="N128" s="6">
        <v>0.38650135000000002</v>
      </c>
      <c r="O128" s="33">
        <f t="shared" si="1"/>
        <v>0.24939992358333332</v>
      </c>
    </row>
    <row r="129" spans="1:15" x14ac:dyDescent="0.2">
      <c r="A129" s="8" t="s">
        <v>223</v>
      </c>
      <c r="B129" s="6" t="s">
        <v>56</v>
      </c>
      <c r="C129" s="6">
        <v>0.217829456</v>
      </c>
      <c r="D129" s="6">
        <v>0.33382020000000001</v>
      </c>
      <c r="E129" s="6">
        <v>5.634516E-3</v>
      </c>
      <c r="F129" s="6">
        <v>1.3537380320000001</v>
      </c>
      <c r="G129" s="6">
        <v>1.6293169199999999E-2</v>
      </c>
      <c r="H129" s="6">
        <v>2.7256361999999998</v>
      </c>
      <c r="I129" s="6">
        <v>0.96146345</v>
      </c>
      <c r="J129" s="6">
        <v>2.6301912999999999</v>
      </c>
      <c r="K129" s="6">
        <v>0.34495139000000002</v>
      </c>
      <c r="L129" s="6">
        <v>2.7614590000000001E-2</v>
      </c>
      <c r="M129" s="6">
        <v>0.15546612000000001</v>
      </c>
      <c r="N129" s="6">
        <v>0.53469270999999996</v>
      </c>
      <c r="O129" s="33">
        <f t="shared" si="1"/>
        <v>0.77561092776666662</v>
      </c>
    </row>
    <row r="130" spans="1:15" x14ac:dyDescent="0.2">
      <c r="A130" s="8" t="s">
        <v>220</v>
      </c>
      <c r="B130" s="6" t="s">
        <v>227</v>
      </c>
      <c r="C130" s="6">
        <v>28.023102999999999</v>
      </c>
      <c r="D130" s="6">
        <v>26.584589999999999</v>
      </c>
      <c r="E130" s="6">
        <v>6.9063556000000004</v>
      </c>
      <c r="F130" s="6">
        <v>20.468588</v>
      </c>
      <c r="G130" s="6">
        <v>7.0951697999999999</v>
      </c>
      <c r="H130" s="6">
        <v>21.373546000000001</v>
      </c>
      <c r="I130" s="6">
        <v>27.848393999999999</v>
      </c>
      <c r="J130" s="6">
        <v>24.375979000000001</v>
      </c>
      <c r="K130" s="6">
        <v>19.293365000000001</v>
      </c>
      <c r="L130" s="6">
        <v>27.325913</v>
      </c>
      <c r="M130" s="6">
        <v>13.444335000000001</v>
      </c>
      <c r="N130" s="6">
        <v>20.834047000000002</v>
      </c>
      <c r="O130" s="33">
        <f t="shared" si="1"/>
        <v>20.297782116666664</v>
      </c>
    </row>
    <row r="131" spans="1:15" x14ac:dyDescent="0.2">
      <c r="A131" s="8" t="s">
        <v>220</v>
      </c>
      <c r="B131" s="6" t="s">
        <v>46</v>
      </c>
      <c r="C131" s="6">
        <v>1.270948</v>
      </c>
      <c r="D131" s="6">
        <v>1.5258940000000001</v>
      </c>
      <c r="E131" s="6">
        <v>0.43356080000000002</v>
      </c>
      <c r="F131" s="6">
        <v>1.88279</v>
      </c>
      <c r="G131" s="6">
        <v>2.862921</v>
      </c>
      <c r="H131" s="6">
        <v>10.2187</v>
      </c>
      <c r="I131" s="6">
        <v>8.3178809999999999</v>
      </c>
      <c r="J131" s="6">
        <v>6.074891</v>
      </c>
      <c r="K131" s="6">
        <v>7.8246310000000001</v>
      </c>
      <c r="L131" s="6">
        <v>7.2134840000000002</v>
      </c>
      <c r="M131" s="6">
        <v>1.331186</v>
      </c>
      <c r="N131" s="6">
        <v>2.412439</v>
      </c>
      <c r="O131" s="33">
        <f t="shared" si="1"/>
        <v>4.2807771499999996</v>
      </c>
    </row>
    <row r="132" spans="1:15" x14ac:dyDescent="0.2">
      <c r="A132" s="8" t="s">
        <v>220</v>
      </c>
      <c r="B132" s="6" t="s">
        <v>45</v>
      </c>
      <c r="C132" s="6">
        <v>4.6633599999999999</v>
      </c>
      <c r="D132" s="6">
        <v>3.1176629999999999</v>
      </c>
      <c r="E132" s="6">
        <v>0.74132779999999998</v>
      </c>
      <c r="F132" s="6">
        <v>3.3428870000000002</v>
      </c>
      <c r="G132" s="6">
        <v>0.4958243</v>
      </c>
      <c r="H132" s="6">
        <v>1.209131</v>
      </c>
      <c r="I132" s="6">
        <v>1.989473</v>
      </c>
      <c r="J132" s="6">
        <v>3.1846230000000002</v>
      </c>
      <c r="K132" s="6">
        <v>3.0873919999999999</v>
      </c>
      <c r="L132" s="6">
        <v>27.959924999999998</v>
      </c>
      <c r="M132" s="6">
        <v>7.7623199999999999</v>
      </c>
      <c r="N132" s="6">
        <v>7.268338</v>
      </c>
      <c r="O132" s="33">
        <f t="shared" si="1"/>
        <v>5.4018553416666668</v>
      </c>
    </row>
    <row r="133" spans="1:15" x14ac:dyDescent="0.2">
      <c r="A133" s="8" t="s">
        <v>220</v>
      </c>
      <c r="B133" s="6" t="s">
        <v>54</v>
      </c>
      <c r="C133" s="6">
        <v>2.4407429999999999</v>
      </c>
      <c r="D133" s="6">
        <v>2.9827789999999998</v>
      </c>
      <c r="E133" s="6">
        <v>3.9978676000000002</v>
      </c>
      <c r="F133" s="6">
        <v>8.7266779999999997</v>
      </c>
      <c r="G133" s="6">
        <v>5.4917445999999996</v>
      </c>
      <c r="H133" s="6">
        <v>19.130247000000001</v>
      </c>
      <c r="I133" s="6">
        <v>9.5438430000000007</v>
      </c>
      <c r="J133" s="6">
        <v>15.219172</v>
      </c>
      <c r="K133" s="6">
        <v>8.3737549999999992</v>
      </c>
      <c r="L133" s="6">
        <v>2.6725469999999998</v>
      </c>
      <c r="M133" s="6">
        <v>5.0456510000000003</v>
      </c>
      <c r="N133" s="6">
        <v>7.4506769999999998</v>
      </c>
      <c r="O133" s="33">
        <f t="shared" ref="O133:O139" si="2">AVERAGE(C133:N133)</f>
        <v>7.5896420166666685</v>
      </c>
    </row>
    <row r="134" spans="1:15" x14ac:dyDescent="0.2">
      <c r="A134" s="8" t="s">
        <v>220</v>
      </c>
      <c r="B134" s="6" t="s">
        <v>47</v>
      </c>
      <c r="C134" s="6">
        <v>6.1702430000000001</v>
      </c>
      <c r="D134" s="6">
        <v>7.7125490000000001</v>
      </c>
      <c r="E134" s="6">
        <v>15.577451</v>
      </c>
      <c r="F134" s="6">
        <v>17.446753999999999</v>
      </c>
      <c r="G134" s="6">
        <v>20.6084779</v>
      </c>
      <c r="H134" s="6">
        <v>12.851760000000001</v>
      </c>
      <c r="I134" s="6">
        <v>9.3923590000000008</v>
      </c>
      <c r="J134" s="6">
        <v>18.144435999999999</v>
      </c>
      <c r="K134" s="6">
        <v>14.138066999999999</v>
      </c>
      <c r="L134" s="6">
        <v>11.164118999999999</v>
      </c>
      <c r="M134" s="6">
        <v>8.3681889999999992</v>
      </c>
      <c r="N134" s="6">
        <v>11.571768</v>
      </c>
      <c r="O134" s="33">
        <f t="shared" si="2"/>
        <v>12.762181074999999</v>
      </c>
    </row>
    <row r="135" spans="1:15" x14ac:dyDescent="0.2">
      <c r="A135" s="8" t="s">
        <v>233</v>
      </c>
      <c r="B135" s="6" t="s">
        <v>227</v>
      </c>
      <c r="C135" s="6">
        <v>6.3992316000000002</v>
      </c>
      <c r="D135" s="6">
        <v>5.0996620999999998</v>
      </c>
      <c r="E135" s="6">
        <v>1.8040929000000001</v>
      </c>
      <c r="F135" s="6">
        <v>7.9914019999999999</v>
      </c>
      <c r="G135" s="6">
        <v>3.0712333699999999</v>
      </c>
      <c r="H135" s="6">
        <v>13.078021209999999</v>
      </c>
      <c r="I135" s="6">
        <v>8.4559438</v>
      </c>
      <c r="J135" s="6">
        <v>11.37609316</v>
      </c>
      <c r="K135" s="6">
        <v>7.6748879399999996</v>
      </c>
      <c r="L135" s="6">
        <v>12.6376537</v>
      </c>
      <c r="M135" s="6">
        <v>4.6923570999999997</v>
      </c>
      <c r="N135" s="6">
        <v>7.1127928000000002</v>
      </c>
      <c r="O135" s="33">
        <f t="shared" si="2"/>
        <v>7.4494476399999989</v>
      </c>
    </row>
    <row r="136" spans="1:15" x14ac:dyDescent="0.2">
      <c r="A136" s="8" t="s">
        <v>233</v>
      </c>
      <c r="B136" s="6" t="s">
        <v>45</v>
      </c>
      <c r="C136" s="6">
        <v>0.86878120000000003</v>
      </c>
      <c r="D136" s="6">
        <v>0.39630530000000003</v>
      </c>
      <c r="E136" s="6">
        <v>0.10513450000000001</v>
      </c>
      <c r="F136" s="6">
        <v>0.16741030000000001</v>
      </c>
      <c r="G136" s="6">
        <v>8.4791499999999995E-3</v>
      </c>
      <c r="H136" s="6">
        <v>3.6113880000000001E-2</v>
      </c>
      <c r="I136" s="6">
        <v>0.14912210000000001</v>
      </c>
      <c r="J136" s="6">
        <v>7.5093190000000004E-2</v>
      </c>
      <c r="K136" s="6">
        <v>7.5650869999999995E-2</v>
      </c>
      <c r="L136" s="6">
        <v>0.54009169999999995</v>
      </c>
      <c r="M136" s="6">
        <v>0.1885879</v>
      </c>
      <c r="N136" s="6">
        <v>0.74033470000000001</v>
      </c>
      <c r="O136" s="33">
        <f t="shared" si="2"/>
        <v>0.2792587325</v>
      </c>
    </row>
    <row r="137" spans="1:15" x14ac:dyDescent="0.2">
      <c r="A137" s="8" t="s">
        <v>233</v>
      </c>
      <c r="B137" s="6" t="s">
        <v>46</v>
      </c>
      <c r="C137" s="6">
        <v>0.64844599999999997</v>
      </c>
      <c r="D137" s="6">
        <v>0.81149570000000004</v>
      </c>
      <c r="E137" s="6">
        <v>0.30453180000000002</v>
      </c>
      <c r="F137" s="6">
        <v>0.71489440000000004</v>
      </c>
      <c r="G137" s="6">
        <v>0.14682698999999999</v>
      </c>
      <c r="H137" s="6">
        <v>1.2934296999999999</v>
      </c>
      <c r="I137" s="6">
        <v>1.9553977</v>
      </c>
      <c r="J137" s="6">
        <v>0.69496572999999995</v>
      </c>
      <c r="K137" s="6">
        <v>1.2235989899999999</v>
      </c>
      <c r="L137" s="6">
        <v>2.2893810000000001</v>
      </c>
      <c r="M137" s="6">
        <v>0.43248399999999998</v>
      </c>
      <c r="N137" s="6">
        <v>1.0100606000000001</v>
      </c>
      <c r="O137" s="33">
        <f t="shared" si="2"/>
        <v>0.96045938416666665</v>
      </c>
    </row>
    <row r="138" spans="1:15" x14ac:dyDescent="0.2">
      <c r="A138" s="8" t="s">
        <v>233</v>
      </c>
      <c r="B138" s="6" t="s">
        <v>47</v>
      </c>
      <c r="C138" s="6">
        <v>0.5070344</v>
      </c>
      <c r="D138" s="6">
        <v>0.75342100000000001</v>
      </c>
      <c r="E138" s="6">
        <v>1.1986421</v>
      </c>
      <c r="F138" s="6">
        <v>1.230761</v>
      </c>
      <c r="G138" s="6">
        <v>5.71951257</v>
      </c>
      <c r="H138" s="6">
        <v>2.7661835699999999</v>
      </c>
      <c r="I138" s="6">
        <v>1.4928128000000001</v>
      </c>
      <c r="J138" s="6">
        <v>1.7821985899999999</v>
      </c>
      <c r="K138" s="6">
        <v>2.0320844899999999</v>
      </c>
      <c r="L138" s="6">
        <v>0.96578569999999997</v>
      </c>
      <c r="M138" s="6">
        <v>0.54172330000000002</v>
      </c>
      <c r="N138" s="6">
        <v>1.0945602000000001</v>
      </c>
      <c r="O138" s="33">
        <f t="shared" si="2"/>
        <v>1.6737266433333335</v>
      </c>
    </row>
    <row r="139" spans="1:15" x14ac:dyDescent="0.2">
      <c r="A139" s="8" t="s">
        <v>233</v>
      </c>
      <c r="B139" s="6" t="s">
        <v>54</v>
      </c>
      <c r="C139" s="6">
        <v>1.2941244999999999</v>
      </c>
      <c r="D139" s="6">
        <v>1.5492216000000001</v>
      </c>
      <c r="E139" s="6">
        <v>1.7110548000000001</v>
      </c>
      <c r="F139" s="6">
        <v>3.0835827999999998</v>
      </c>
      <c r="G139" s="6">
        <v>1.9923146300000001</v>
      </c>
      <c r="H139" s="6">
        <v>11.562505760000001</v>
      </c>
      <c r="I139" s="6">
        <v>5.3503957</v>
      </c>
      <c r="J139" s="6">
        <v>7.7371789399999997</v>
      </c>
      <c r="K139" s="6">
        <v>5.7524006600000002</v>
      </c>
      <c r="L139" s="6">
        <v>1.3171128000000001</v>
      </c>
      <c r="M139" s="6">
        <v>1.6940132999999999</v>
      </c>
      <c r="N139" s="6">
        <v>2.1846294999999998</v>
      </c>
      <c r="O139" s="33">
        <f t="shared" si="2"/>
        <v>3.7690445824999994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Zhu (BIO - Postgraduate Researcher)</dc:creator>
  <cp:lastModifiedBy>Xiaoyu Zhu (BIO - Postgraduate Researcher)</cp:lastModifiedBy>
  <dcterms:created xsi:type="dcterms:W3CDTF">2025-05-30T15:07:20Z</dcterms:created>
  <dcterms:modified xsi:type="dcterms:W3CDTF">2026-03-16T17:05:33Z</dcterms:modified>
</cp:coreProperties>
</file>