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eanorwich-my.sharepoint.com/personal/gbs22bju_uea_ac_uk/Documents/work/Thesis/"/>
    </mc:Choice>
  </mc:AlternateContent>
  <xr:revisionPtr revIDLastSave="507" documentId="8_{23FB424D-74B0-834A-B932-029DFACB9951}" xr6:coauthVersionLast="47" xr6:coauthVersionMax="47" xr10:uidLastSave="{3D223E3E-F867-5143-ACE6-C14F0E770BE1}"/>
  <bookViews>
    <workbookView xWindow="0" yWindow="740" windowWidth="29400" windowHeight="18380" activeTab="4" xr2:uid="{1483C36E-C55B-8442-A7B2-8CF1E4C132AA}"/>
  </bookViews>
  <sheets>
    <sheet name="Table S1" sheetId="1" r:id="rId1"/>
    <sheet name="Table S2" sheetId="2" r:id="rId2"/>
    <sheet name="Table S3" sheetId="3" r:id="rId3"/>
    <sheet name="Table S4" sheetId="5" r:id="rId4"/>
    <sheet name="Table S5" sheetId="4" r:id="rId5"/>
    <sheet name="Table S6" sheetId="6" r:id="rId6"/>
    <sheet name="Table S7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7" i="4" l="1"/>
  <c r="Y7" i="4"/>
  <c r="Z7" i="4"/>
  <c r="AA7" i="4"/>
  <c r="AB7" i="4"/>
  <c r="AC7" i="4"/>
  <c r="X8" i="4"/>
  <c r="Y8" i="4"/>
  <c r="Z8" i="4"/>
  <c r="AA8" i="4"/>
  <c r="AB8" i="4"/>
  <c r="AC8" i="4"/>
  <c r="X9" i="4"/>
  <c r="Y9" i="4"/>
  <c r="Z9" i="4"/>
  <c r="AA9" i="4"/>
  <c r="AB9" i="4"/>
  <c r="AC9" i="4"/>
  <c r="X10" i="4"/>
  <c r="Y10" i="4"/>
  <c r="Z10" i="4"/>
  <c r="AA10" i="4"/>
  <c r="AB10" i="4"/>
  <c r="AC10" i="4"/>
  <c r="X11" i="4"/>
  <c r="Y11" i="4"/>
  <c r="Z11" i="4"/>
  <c r="AA11" i="4"/>
  <c r="AB11" i="4"/>
  <c r="AC11" i="4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C7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C11" i="4"/>
  <c r="AC36" i="4" l="1"/>
  <c r="AB36" i="4"/>
  <c r="AA36" i="4"/>
  <c r="Z36" i="4"/>
  <c r="Y36" i="4"/>
  <c r="X36" i="4"/>
  <c r="AC35" i="4"/>
  <c r="AB35" i="4"/>
  <c r="AA35" i="4"/>
  <c r="Z35" i="4"/>
  <c r="Y35" i="4"/>
  <c r="X35" i="4"/>
  <c r="AC34" i="4"/>
  <c r="AB34" i="4"/>
  <c r="AA34" i="4"/>
  <c r="Z34" i="4"/>
  <c r="Y34" i="4"/>
  <c r="X34" i="4"/>
  <c r="AC33" i="4"/>
  <c r="AB33" i="4"/>
  <c r="AA33" i="4"/>
  <c r="Z33" i="4"/>
  <c r="Y33" i="4"/>
  <c r="X33" i="4"/>
  <c r="AC32" i="4"/>
  <c r="AB32" i="4"/>
  <c r="AA32" i="4"/>
  <c r="Z32" i="4"/>
  <c r="Y32" i="4"/>
  <c r="X32" i="4"/>
  <c r="AC31" i="4"/>
  <c r="AB31" i="4"/>
  <c r="AA31" i="4"/>
  <c r="Z31" i="4"/>
  <c r="Y31" i="4"/>
  <c r="X31" i="4"/>
  <c r="AC30" i="4"/>
  <c r="AB30" i="4"/>
  <c r="AA30" i="4"/>
  <c r="Z30" i="4"/>
  <c r="Y30" i="4"/>
  <c r="X30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AC28" i="4"/>
  <c r="AB28" i="4"/>
  <c r="AA28" i="4"/>
  <c r="Z28" i="4"/>
  <c r="Y28" i="4"/>
  <c r="X28" i="4"/>
  <c r="AC27" i="4"/>
  <c r="AB27" i="4"/>
  <c r="AA27" i="4"/>
  <c r="Z27" i="4"/>
  <c r="Y27" i="4"/>
  <c r="X27" i="4"/>
  <c r="AC26" i="4"/>
  <c r="AB26" i="4"/>
  <c r="AA26" i="4"/>
  <c r="Z26" i="4"/>
  <c r="Y26" i="4"/>
  <c r="X26" i="4"/>
  <c r="AC25" i="4"/>
  <c r="AB25" i="4"/>
  <c r="AA25" i="4"/>
  <c r="Z25" i="4"/>
  <c r="Y25" i="4"/>
  <c r="X25" i="4"/>
  <c r="AC24" i="4"/>
  <c r="AB24" i="4"/>
  <c r="AA24" i="4"/>
  <c r="Z24" i="4"/>
  <c r="Y24" i="4"/>
  <c r="X24" i="4"/>
  <c r="AC23" i="4"/>
  <c r="AB23" i="4"/>
  <c r="AA23" i="4"/>
  <c r="Z23" i="4"/>
  <c r="Y23" i="4"/>
  <c r="X23" i="4"/>
  <c r="AC22" i="4"/>
  <c r="AB22" i="4"/>
  <c r="AA22" i="4"/>
  <c r="Z22" i="4"/>
  <c r="Y22" i="4"/>
  <c r="X22" i="4"/>
  <c r="AC21" i="4"/>
  <c r="AB21" i="4"/>
  <c r="AA21" i="4"/>
  <c r="Z21" i="4"/>
  <c r="Y21" i="4"/>
  <c r="X21" i="4"/>
  <c r="AC20" i="4"/>
  <c r="AB20" i="4"/>
  <c r="AA20" i="4"/>
  <c r="Z20" i="4"/>
  <c r="Y20" i="4"/>
  <c r="X20" i="4"/>
  <c r="AC19" i="4"/>
  <c r="AB19" i="4"/>
  <c r="AA19" i="4"/>
  <c r="Z19" i="4"/>
  <c r="Y19" i="4"/>
  <c r="X19" i="4"/>
  <c r="AC18" i="4"/>
  <c r="AB18" i="4"/>
  <c r="AA18" i="4"/>
  <c r="Z18" i="4"/>
  <c r="Y18" i="4"/>
  <c r="X18" i="4"/>
  <c r="AC17" i="4"/>
  <c r="AB17" i="4"/>
  <c r="AA17" i="4"/>
  <c r="Z17" i="4"/>
  <c r="Y17" i="4"/>
  <c r="X17" i="4"/>
  <c r="AC16" i="4"/>
  <c r="AB16" i="4"/>
  <c r="AA16" i="4"/>
  <c r="Z16" i="4"/>
  <c r="Y16" i="4"/>
  <c r="X16" i="4"/>
  <c r="AC15" i="4"/>
  <c r="AB15" i="4"/>
  <c r="AA15" i="4"/>
  <c r="Z15" i="4"/>
  <c r="Y15" i="4"/>
  <c r="X15" i="4"/>
  <c r="AC14" i="4"/>
  <c r="AB14" i="4"/>
  <c r="AA14" i="4"/>
  <c r="Z14" i="4"/>
  <c r="Y14" i="4"/>
  <c r="X14" i="4"/>
  <c r="AC13" i="4"/>
  <c r="AB13" i="4"/>
  <c r="AA13" i="4"/>
  <c r="Z13" i="4"/>
  <c r="Y13" i="4"/>
  <c r="X13" i="4"/>
  <c r="AC12" i="4"/>
  <c r="AB12" i="4"/>
  <c r="AA12" i="4"/>
  <c r="Z12" i="4"/>
  <c r="Y12" i="4"/>
  <c r="X12" i="4"/>
  <c r="AC6" i="4"/>
  <c r="AB6" i="4"/>
  <c r="AA6" i="4"/>
  <c r="Z6" i="4"/>
  <c r="Y6" i="4"/>
  <c r="X6" i="4"/>
  <c r="AC5" i="4"/>
  <c r="AB5" i="4"/>
  <c r="AA5" i="4"/>
  <c r="Z5" i="4"/>
  <c r="Y5" i="4"/>
  <c r="X5" i="4"/>
  <c r="Y29" i="3"/>
  <c r="Z29" i="3"/>
  <c r="AA29" i="3"/>
  <c r="AB29" i="3"/>
  <c r="Y19" i="3"/>
  <c r="Z19" i="3"/>
  <c r="AA19" i="3"/>
  <c r="AB19" i="3"/>
  <c r="Y20" i="3"/>
  <c r="Z20" i="3"/>
  <c r="AA20" i="3"/>
  <c r="AB20" i="3"/>
  <c r="Y21" i="3"/>
  <c r="Z21" i="3"/>
  <c r="AA21" i="3"/>
  <c r="AB21" i="3"/>
  <c r="Y22" i="3"/>
  <c r="Z22" i="3"/>
  <c r="AA22" i="3"/>
  <c r="AB22" i="3"/>
  <c r="Y23" i="3"/>
  <c r="Z23" i="3"/>
  <c r="AA23" i="3"/>
  <c r="AB23" i="3"/>
  <c r="Y24" i="3"/>
  <c r="Z24" i="3"/>
  <c r="AA24" i="3"/>
  <c r="AB24" i="3"/>
  <c r="Y25" i="3"/>
  <c r="Z25" i="3"/>
  <c r="AA25" i="3"/>
  <c r="AB25" i="3"/>
  <c r="Y26" i="3"/>
  <c r="Z26" i="3"/>
  <c r="AA26" i="3"/>
  <c r="AB26" i="3"/>
  <c r="Y27" i="3"/>
  <c r="Z27" i="3"/>
  <c r="AA27" i="3"/>
  <c r="AB27" i="3"/>
  <c r="Y28" i="3"/>
  <c r="Z28" i="3"/>
  <c r="AA28" i="3"/>
  <c r="AB28" i="3"/>
  <c r="Y4" i="3"/>
  <c r="Z4" i="3"/>
  <c r="AA4" i="3"/>
  <c r="AB4" i="3"/>
  <c r="Y5" i="3"/>
  <c r="Z5" i="3"/>
  <c r="AA5" i="3"/>
  <c r="AB5" i="3"/>
  <c r="Y7" i="3"/>
  <c r="Z7" i="3"/>
  <c r="AA7" i="3"/>
  <c r="AB7" i="3"/>
  <c r="Y8" i="3"/>
  <c r="Z8" i="3"/>
  <c r="AA8" i="3"/>
  <c r="AB8" i="3"/>
  <c r="Y9" i="3"/>
  <c r="Z9" i="3"/>
  <c r="AA9" i="3"/>
  <c r="AB9" i="3"/>
  <c r="Y10" i="3"/>
  <c r="Z10" i="3"/>
  <c r="AA10" i="3"/>
  <c r="AB10" i="3"/>
  <c r="Y11" i="3"/>
  <c r="Z11" i="3"/>
  <c r="AA11" i="3"/>
  <c r="AB11" i="3"/>
  <c r="Y12" i="3"/>
  <c r="Z12" i="3"/>
  <c r="AA12" i="3"/>
  <c r="AB12" i="3"/>
  <c r="Y13" i="3"/>
  <c r="Z13" i="3"/>
  <c r="AA13" i="3"/>
  <c r="AB13" i="3"/>
  <c r="Y14" i="3"/>
  <c r="Z14" i="3"/>
  <c r="AA14" i="3"/>
  <c r="AB14" i="3"/>
  <c r="Y15" i="3"/>
  <c r="Z15" i="3"/>
  <c r="AA15" i="3"/>
  <c r="AB15" i="3"/>
  <c r="Y16" i="3"/>
  <c r="Z16" i="3"/>
  <c r="AA16" i="3"/>
  <c r="AB16" i="3"/>
  <c r="Y17" i="3"/>
  <c r="Z17" i="3"/>
  <c r="AA17" i="3"/>
  <c r="AB17" i="3"/>
  <c r="Y18" i="3"/>
  <c r="Z18" i="3"/>
  <c r="AA18" i="3"/>
  <c r="AB18" i="3"/>
  <c r="X29" i="3"/>
  <c r="W29" i="3"/>
  <c r="X28" i="3"/>
  <c r="W28" i="3"/>
  <c r="X27" i="3"/>
  <c r="W27" i="3"/>
  <c r="X26" i="3"/>
  <c r="W26" i="3"/>
  <c r="X25" i="3"/>
  <c r="W25" i="3"/>
  <c r="X24" i="3"/>
  <c r="W24" i="3"/>
  <c r="X23" i="3"/>
  <c r="W23" i="3"/>
  <c r="X22" i="3"/>
  <c r="W22" i="3"/>
  <c r="X21" i="3"/>
  <c r="W21" i="3"/>
  <c r="X20" i="3"/>
  <c r="W20" i="3"/>
  <c r="X19" i="3"/>
  <c r="W19" i="3"/>
  <c r="X18" i="3"/>
  <c r="W18" i="3"/>
  <c r="X17" i="3"/>
  <c r="W17" i="3"/>
  <c r="X16" i="3"/>
  <c r="W16" i="3"/>
  <c r="X15" i="3"/>
  <c r="W15" i="3"/>
  <c r="X14" i="3"/>
  <c r="W14" i="3"/>
  <c r="X13" i="3"/>
  <c r="W13" i="3"/>
  <c r="X12" i="3"/>
  <c r="W12" i="3"/>
  <c r="X11" i="3"/>
  <c r="W11" i="3"/>
  <c r="X10" i="3"/>
  <c r="W10" i="3"/>
  <c r="X9" i="3"/>
  <c r="W9" i="3"/>
  <c r="X8" i="3"/>
  <c r="W8" i="3"/>
  <c r="X7" i="3"/>
  <c r="W7" i="3"/>
  <c r="V6" i="3"/>
  <c r="U6" i="3"/>
  <c r="T6" i="3"/>
  <c r="S6" i="3"/>
  <c r="R6" i="3"/>
  <c r="AB6" i="3" s="1"/>
  <c r="Q6" i="3"/>
  <c r="P6" i="3"/>
  <c r="O6" i="3"/>
  <c r="N6" i="3"/>
  <c r="M6" i="3"/>
  <c r="AA6" i="3" s="1"/>
  <c r="L6" i="3"/>
  <c r="K6" i="3"/>
  <c r="J6" i="3"/>
  <c r="I6" i="3"/>
  <c r="H6" i="3"/>
  <c r="Z6" i="3" s="1"/>
  <c r="G6" i="3"/>
  <c r="F6" i="3"/>
  <c r="E6" i="3"/>
  <c r="D6" i="3"/>
  <c r="C6" i="3"/>
  <c r="Y6" i="3" s="1"/>
  <c r="X5" i="3"/>
  <c r="W5" i="3"/>
  <c r="X4" i="3"/>
  <c r="W4" i="3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4" i="2"/>
  <c r="AC29" i="4" l="1"/>
  <c r="Z29" i="4"/>
  <c r="X29" i="4"/>
  <c r="AB29" i="4"/>
  <c r="AA29" i="4"/>
  <c r="Y29" i="4"/>
  <c r="X6" i="3"/>
  <c r="W6" i="3"/>
</calcChain>
</file>

<file path=xl/sharedStrings.xml><?xml version="1.0" encoding="utf-8"?>
<sst xmlns="http://schemas.openxmlformats.org/spreadsheetml/2006/main" count="1015" uniqueCount="234">
  <si>
    <t>Pond</t>
  </si>
  <si>
    <t>Group</t>
  </si>
  <si>
    <t>DMSP</t>
  </si>
  <si>
    <t>DMS</t>
  </si>
  <si>
    <t>MeSH</t>
  </si>
  <si>
    <t>Iron-rich</t>
  </si>
  <si>
    <t>Oxic</t>
  </si>
  <si>
    <t>Sulfide-rich</t>
  </si>
  <si>
    <t>IO_08_20_1</t>
  </si>
  <si>
    <t>IO_08_20_2</t>
  </si>
  <si>
    <t>IO_08_20_3</t>
  </si>
  <si>
    <t>IO_10_20_1</t>
  </si>
  <si>
    <t>IO_10_20_2</t>
  </si>
  <si>
    <t>IO_10_20_3</t>
  </si>
  <si>
    <t>IO_01_21_1</t>
  </si>
  <si>
    <t>IO_01_21_2</t>
  </si>
  <si>
    <t>IO_01_21_3</t>
  </si>
  <si>
    <t>IO_04_21_1</t>
  </si>
  <si>
    <t>IO_04_21_2</t>
  </si>
  <si>
    <t>IO_04_21_3</t>
  </si>
  <si>
    <t>IO_07_21_1</t>
  </si>
  <si>
    <t>IO_07_21_2</t>
  </si>
  <si>
    <t>IO_07_21_3</t>
  </si>
  <si>
    <t>IA_08_20_1</t>
  </si>
  <si>
    <t>IA_08_20_2</t>
  </si>
  <si>
    <t>IA_08_20_3</t>
  </si>
  <si>
    <t>IA_10_20_1</t>
  </si>
  <si>
    <t>IA_10_20_2</t>
  </si>
  <si>
    <t>IA_10_20_3</t>
  </si>
  <si>
    <t>IA_01_21_1</t>
  </si>
  <si>
    <t>IA_01_21_2</t>
  </si>
  <si>
    <t>IA_01_21_3</t>
  </si>
  <si>
    <t>IA_04_21_1</t>
  </si>
  <si>
    <t>IA_04_21_2</t>
  </si>
  <si>
    <t>IA_04_21_3</t>
  </si>
  <si>
    <t>IA_07_21_1</t>
  </si>
  <si>
    <t>IA_07_21_2</t>
  </si>
  <si>
    <t>IA_07_21_3</t>
  </si>
  <si>
    <t>SO_08_20_1</t>
  </si>
  <si>
    <t>SO_08_20_2</t>
  </si>
  <si>
    <t>SO_08_20_3</t>
  </si>
  <si>
    <t>SO_10_20_1</t>
  </si>
  <si>
    <t>SO_10_20_2</t>
  </si>
  <si>
    <t>SO_10_20_3</t>
  </si>
  <si>
    <t>SO_01_21_1</t>
  </si>
  <si>
    <t>SO_01_21_2</t>
  </si>
  <si>
    <t>SO_01_21_3</t>
  </si>
  <si>
    <t>SO_04_21_1</t>
  </si>
  <si>
    <t>SO_04_21_2</t>
  </si>
  <si>
    <t>SO_04_21_3</t>
  </si>
  <si>
    <t>SO_07_21_1</t>
  </si>
  <si>
    <t>SO_07_21_2</t>
  </si>
  <si>
    <t>SO_07_21_3</t>
  </si>
  <si>
    <t>SA_08_20_1</t>
  </si>
  <si>
    <t>SA_08_20_2</t>
  </si>
  <si>
    <t>SA_08_20_3</t>
  </si>
  <si>
    <t>SA_10_20_1</t>
  </si>
  <si>
    <t>SA_10_20_2</t>
  </si>
  <si>
    <t>SA_10_20_3</t>
  </si>
  <si>
    <t>SA_01_21_1</t>
  </si>
  <si>
    <t>SA_01_21_2</t>
  </si>
  <si>
    <t>SA_01_21_3</t>
  </si>
  <si>
    <t>SA_04_21_1</t>
  </si>
  <si>
    <t>SA_04_21_2</t>
  </si>
  <si>
    <t>SA_04_21_3</t>
  </si>
  <si>
    <t>SA_07_21_1</t>
  </si>
  <si>
    <t>SA_07_21_2</t>
  </si>
  <si>
    <t>SA_07_21_3</t>
  </si>
  <si>
    <t>IA_08_2020 (n=3)</t>
  </si>
  <si>
    <t>IA_10_2020 (n=3)</t>
  </si>
  <si>
    <t>IA_01_2021 (n=3)</t>
  </si>
  <si>
    <t>IA_04_2021 (n=3)</t>
  </si>
  <si>
    <t>IA_07_2021 (n=3)</t>
  </si>
  <si>
    <t>IO_08_2020 (n=3)</t>
  </si>
  <si>
    <t>IO_10_2020 (n=3)</t>
  </si>
  <si>
    <t>IO_01_2021 (n=3)</t>
  </si>
  <si>
    <t>IO_04_2021 (n=3)</t>
  </si>
  <si>
    <t>IO_07_2021 (n=3)</t>
  </si>
  <si>
    <t>SA_08_2020 (n=3)</t>
  </si>
  <si>
    <t>SA_10_2020 (n=3)</t>
  </si>
  <si>
    <t>SA_01_2021 (n=3)</t>
  </si>
  <si>
    <t>SA_04_2021 (n=3)</t>
  </si>
  <si>
    <t>SA_07_2021 (n=3)</t>
  </si>
  <si>
    <t>SO_08_2020 (n=3)</t>
  </si>
  <si>
    <t>SO_10_2020 (n=3)</t>
  </si>
  <si>
    <t>SO_01_2021 (n=3)</t>
  </si>
  <si>
    <t>SO_04_2021 (n=3)</t>
  </si>
  <si>
    <t>SO_07_2021 (n=3)</t>
  </si>
  <si>
    <t>Layer</t>
  </si>
  <si>
    <t>07_2020</t>
  </si>
  <si>
    <t>08_2020</t>
  </si>
  <si>
    <t>09_2020</t>
  </si>
  <si>
    <t>10_2020</t>
  </si>
  <si>
    <t>11_2020</t>
  </si>
  <si>
    <t>12_2020</t>
  </si>
  <si>
    <t>01_2021</t>
  </si>
  <si>
    <t>02_2021</t>
  </si>
  <si>
    <t>03_2021</t>
  </si>
  <si>
    <t>04_2021</t>
  </si>
  <si>
    <t>05_2021</t>
  </si>
  <si>
    <t>06_2021</t>
  </si>
  <si>
    <t>07_2021</t>
  </si>
  <si>
    <t>Water</t>
  </si>
  <si>
    <t>Compound</t>
  </si>
  <si>
    <t>Sample ID</t>
  </si>
  <si>
    <t>Metatranscriptome data accession</t>
  </si>
  <si>
    <t>IA_08_2020</t>
  </si>
  <si>
    <t>IA_10_2020</t>
  </si>
  <si>
    <t>IA_01_2021</t>
  </si>
  <si>
    <t>IA_04_2021</t>
  </si>
  <si>
    <t>IA_07_2021</t>
  </si>
  <si>
    <t>IO_08_2020</t>
  </si>
  <si>
    <t>IO_10_2020</t>
  </si>
  <si>
    <t>IO_01_2021</t>
  </si>
  <si>
    <t>IO_04_2021</t>
  </si>
  <si>
    <t>IO_07_2021</t>
  </si>
  <si>
    <t>SA_08_2020</t>
  </si>
  <si>
    <t>SA_10_2020</t>
  </si>
  <si>
    <t>SA_01_2021</t>
  </si>
  <si>
    <t>SA_04_2021</t>
  </si>
  <si>
    <t>SA_07_2021</t>
  </si>
  <si>
    <t>SO_08_2020</t>
  </si>
  <si>
    <t>SO_10_2020</t>
  </si>
  <si>
    <t>SO_01_2021</t>
  </si>
  <si>
    <t>SO_04_2021</t>
  </si>
  <si>
    <t>SO_07_2021</t>
  </si>
  <si>
    <t>#16S and metagenome</t>
  </si>
  <si>
    <t>#metatranscriptome</t>
  </si>
  <si>
    <t>16S data accession</t>
  </si>
  <si>
    <t>PRJNA901134</t>
  </si>
  <si>
    <t>PRJNA901142</t>
  </si>
  <si>
    <t>PRJNA901146</t>
  </si>
  <si>
    <t>Range</t>
  </si>
  <si>
    <t>Average</t>
  </si>
  <si>
    <t>Met to DMSP</t>
  </si>
  <si>
    <t>dsyB</t>
  </si>
  <si>
    <t>mmtN</t>
  </si>
  <si>
    <t>all synthase genes</t>
  </si>
  <si>
    <t>DMSP to DMS</t>
  </si>
  <si>
    <t>dddD</t>
  </si>
  <si>
    <t>dddL</t>
  </si>
  <si>
    <t>dddP</t>
  </si>
  <si>
    <t>dddQ</t>
  </si>
  <si>
    <t>dddX</t>
  </si>
  <si>
    <t>dddY</t>
  </si>
  <si>
    <t>all lyase genes</t>
  </si>
  <si>
    <t>dmdA</t>
  </si>
  <si>
    <r>
      <t>MeSH to S</t>
    </r>
    <r>
      <rPr>
        <vertAlign val="superscript"/>
        <sz val="12"/>
        <color theme="1"/>
        <rFont val="Aptos Narrow (Body)"/>
      </rPr>
      <t>0</t>
    </r>
  </si>
  <si>
    <t>MTO</t>
  </si>
  <si>
    <t>H2S to MeSH to DMS</t>
  </si>
  <si>
    <t>mddA</t>
  </si>
  <si>
    <t>mddH</t>
  </si>
  <si>
    <t>DMS to MeSH</t>
  </si>
  <si>
    <t>dmoA</t>
  </si>
  <si>
    <t>DMS to DMSO</t>
  </si>
  <si>
    <t>ddhA</t>
  </si>
  <si>
    <t>dsoB</t>
  </si>
  <si>
    <t>tmm</t>
  </si>
  <si>
    <t>DMSO to DMS</t>
  </si>
  <si>
    <t>DMSOR</t>
  </si>
  <si>
    <t>Met to MeSH</t>
  </si>
  <si>
    <t>megL</t>
  </si>
  <si>
    <t>Gene</t>
  </si>
  <si>
    <t>All Average</t>
  </si>
  <si>
    <t>IA_average</t>
  </si>
  <si>
    <t>IO_average</t>
  </si>
  <si>
    <t>SA_average</t>
  </si>
  <si>
    <t>SO_average</t>
  </si>
  <si>
    <t>DSYB</t>
  </si>
  <si>
    <t>DSYE</t>
  </si>
  <si>
    <t>TpMMT</t>
  </si>
  <si>
    <t>mdd</t>
  </si>
  <si>
    <t xml:space="preserve">Table S3 Mean relative abundance (% of prokaryotes) of DMSP/DMS/MeSH metabolism related genes in different samples. </t>
  </si>
  <si>
    <t>Taxonomy</t>
  </si>
  <si>
    <t>Alphaproteobacteria</t>
  </si>
  <si>
    <t>Gammaproteobacteria</t>
  </si>
  <si>
    <t>Acidimicrobiia</t>
  </si>
  <si>
    <t>Anaerolineae</t>
  </si>
  <si>
    <t>Binatia</t>
  </si>
  <si>
    <t>Unclassified</t>
  </si>
  <si>
    <t>Others</t>
  </si>
  <si>
    <t>Table S4 Taxonomic composition of DMSP/DMS/MeSH metabolism related genes in metagenome samples. Values indicate their mean relative abundance (% of prokaryotes).</t>
  </si>
  <si>
    <t>Dinophyta</t>
  </si>
  <si>
    <t>Haptophyta</t>
  </si>
  <si>
    <t>Bacillariophyta</t>
  </si>
  <si>
    <t>Chlorophyta</t>
  </si>
  <si>
    <t>Pathway</t>
  </si>
  <si>
    <t>DMSP to MMPA</t>
  </si>
  <si>
    <t>MMPA to MMPA-CoA</t>
  </si>
  <si>
    <t>dmdB</t>
  </si>
  <si>
    <t>MMPA-CoA to MTO-CoA</t>
  </si>
  <si>
    <t>dmdC</t>
  </si>
  <si>
    <t>MTO-CoA to MeSH</t>
  </si>
  <si>
    <t>dmdD</t>
  </si>
  <si>
    <t>acuH</t>
  </si>
  <si>
    <t>mddM1</t>
  </si>
  <si>
    <t>mddM2</t>
  </si>
  <si>
    <t>ddd</t>
  </si>
  <si>
    <t>DMS oxidase genes</t>
  </si>
  <si>
    <t>Deep-2</t>
  </si>
  <si>
    <t>Deep-1</t>
  </si>
  <si>
    <t>Surface</t>
  </si>
  <si>
    <t>Table S2 Concentration variation (nmol/g or nmol/ml) of DMSP, DMS and MeSH in the iron-rich and sulfide-rich ponds from July 2020 to July 2021.</t>
  </si>
  <si>
    <t>Table S1 Metadata of 16S, metagenome and metatranscriptome samples.</t>
  </si>
  <si>
    <t>Table S6 Taxonomic composition of DMSP/DMS/MeSH metabolism related genes in metatranscriptome samples. Values indicate their mean relative expression (TPM).</t>
  </si>
  <si>
    <t xml:space="preserve">Table S5 Mean relative expression (TPM) of DMSP/DMS/MeSH metabolism related genes in different samples. </t>
  </si>
  <si>
    <t>Alphaproteobacteria; Rhodobacterales</t>
  </si>
  <si>
    <t>Unclassified and others</t>
  </si>
  <si>
    <t>Gammaproteobacteria; Xanthomonadales</t>
  </si>
  <si>
    <t>Gammaproteobacteria; Pseudomonadales</t>
  </si>
  <si>
    <t>Gammaproteobacteria; Chromatiales</t>
  </si>
  <si>
    <t>Desulfobacteria; Desulfobacterales</t>
  </si>
  <si>
    <t>Desulfuromonadia; Desulfuromonadales</t>
  </si>
  <si>
    <t>Anaerolineae; Anaerolineales</t>
  </si>
  <si>
    <t>Alphaproteobacteria; Rhizobiales</t>
  </si>
  <si>
    <t>Gammaproteobacteria; Woeseiales</t>
  </si>
  <si>
    <t>Alphaproteobacteria; Rhodospirillales</t>
  </si>
  <si>
    <t>Acidimicrobiia; Acidimicrobiales</t>
  </si>
  <si>
    <t>Thermoanaerobaculia; Thermoanaerobaculales</t>
  </si>
  <si>
    <t>Polyangia; Polyangiales</t>
  </si>
  <si>
    <t>Alphaproteobacteria; Kiloniellales</t>
  </si>
  <si>
    <t>Alphaproteobacteria; Minwuiales</t>
  </si>
  <si>
    <t>Thermoanaerobaculia; Multivoradales</t>
  </si>
  <si>
    <t>Gemmatimonadetes; Palauibacterales</t>
  </si>
  <si>
    <t>Actinomycetes; Mycobacteriales</t>
  </si>
  <si>
    <t>Bacteroidia; Bacteroidales</t>
  </si>
  <si>
    <t>Gammaproteobacteria; Competibacterales</t>
  </si>
  <si>
    <t>Alphaproteobacteria; Geminicoccales</t>
  </si>
  <si>
    <t>Gammaproteobacteria; Beggiatoales</t>
  </si>
  <si>
    <t>Krumholzibacteria; Krumholzibacteriales</t>
  </si>
  <si>
    <t>Table S7 Concentrations of chlorophyll-a (Chl-a, ng/g) in iron-rich and sulfide-rich ponds from July 2020 to July 2021. Measurements were performed on the backup samples. Data for some samples are missing due to insufficient backup material.</t>
  </si>
  <si>
    <t>all prokaryotic synthase genes</t>
  </si>
  <si>
    <t>all eukaryotic synthase genes</t>
  </si>
  <si>
    <t>all prokaryotic lyase genes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</si>
</sst>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1"/>
      <color rgb="FF000000"/>
      <name val="Lucida Grande"/>
      <family val="2"/>
    </font>
    <font>
      <i/>
      <sz val="11"/>
      <color theme="1"/>
      <name val="Lucida Grande"/>
      <family val="2"/>
    </font>
    <font>
      <sz val="11"/>
      <color theme="1"/>
      <name val="Lucida Grande"/>
      <family val="2"/>
    </font>
    <font>
      <vertAlign val="superscript"/>
      <sz val="12"/>
      <color theme="1"/>
      <name val="Aptos Narrow (Body)"/>
    </font>
    <font>
      <b/>
      <sz val="11"/>
      <color theme="1"/>
      <name val="Lucida Grande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rgb="FFF8CBAD"/>
        <bgColor rgb="FF0000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2" fillId="0" borderId="0" xfId="0" applyFont="1" applyAlignment="1">
      <alignment horizontal="left"/>
    </xf>
    <xf numFmtId="17" fontId="0" fillId="0" borderId="0" xfId="0" applyNumberFormat="1" applyAlignment="1">
      <alignment horizontal="left"/>
    </xf>
    <xf numFmtId="2" fontId="1" fillId="0" borderId="0" xfId="2" applyNumberFormat="1" applyFill="1" applyAlignment="1">
      <alignment horizontal="left"/>
    </xf>
    <xf numFmtId="2" fontId="1" fillId="0" borderId="0" xfId="1" applyNumberFormat="1" applyFill="1" applyAlignment="1">
      <alignment horizontal="left"/>
    </xf>
    <xf numFmtId="0" fontId="3" fillId="0" borderId="0" xfId="0" applyFont="1"/>
    <xf numFmtId="0" fontId="6" fillId="0" borderId="0" xfId="0" applyFont="1"/>
    <xf numFmtId="164" fontId="3" fillId="4" borderId="0" xfId="0" applyNumberFormat="1" applyFont="1" applyFill="1"/>
    <xf numFmtId="17" fontId="6" fillId="0" borderId="0" xfId="0" applyNumberFormat="1" applyFont="1" applyAlignment="1">
      <alignment horizontal="left"/>
    </xf>
    <xf numFmtId="17" fontId="7" fillId="0" borderId="0" xfId="0" applyNumberFormat="1" applyFont="1" applyAlignment="1">
      <alignment horizontal="left"/>
    </xf>
    <xf numFmtId="0" fontId="5" fillId="0" borderId="0" xfId="0" applyFont="1"/>
    <xf numFmtId="0" fontId="8" fillId="0" borderId="0" xfId="0" applyFont="1"/>
    <xf numFmtId="0" fontId="9" fillId="0" borderId="0" xfId="0" applyFont="1" applyAlignment="1">
      <alignment horizontal="left"/>
    </xf>
    <xf numFmtId="0" fontId="10" fillId="0" borderId="0" xfId="0" applyFont="1"/>
    <xf numFmtId="0" fontId="11" fillId="0" borderId="0" xfId="0" applyFont="1"/>
    <xf numFmtId="0" fontId="0" fillId="0" borderId="0" xfId="0" applyAlignment="1">
      <alignment horizontal="center"/>
    </xf>
    <xf numFmtId="0" fontId="12" fillId="0" borderId="0" xfId="0" applyFont="1"/>
    <xf numFmtId="0" fontId="13" fillId="0" borderId="0" xfId="0" applyFont="1"/>
    <xf numFmtId="11" fontId="13" fillId="0" borderId="0" xfId="0" applyNumberFormat="1" applyFont="1"/>
    <xf numFmtId="0" fontId="15" fillId="0" borderId="0" xfId="0" applyFont="1"/>
    <xf numFmtId="0" fontId="1" fillId="0" borderId="0" xfId="0" applyFont="1"/>
    <xf numFmtId="164" fontId="0" fillId="0" borderId="0" xfId="0" applyNumberFormat="1"/>
    <xf numFmtId="0" fontId="0" fillId="0" borderId="0" xfId="0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17" fontId="0" fillId="0" borderId="0" xfId="0" applyNumberFormat="1" applyAlignment="1">
      <alignment horizontal="center" vertical="center"/>
    </xf>
    <xf numFmtId="2" fontId="1" fillId="0" borderId="0" xfId="1" applyNumberFormat="1" applyFill="1" applyAlignment="1">
      <alignment horizontal="center" vertical="center"/>
    </xf>
    <xf numFmtId="0" fontId="0" fillId="0" borderId="0" xfId="0" applyAlignment="1">
      <alignment horizontal="center"/>
    </xf>
    <xf numFmtId="0" fontId="1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ont="1"/>
  </cellXfs>
  <cellStyles count="3">
    <cellStyle name="20% - Accent1" xfId="1" builtinId="30"/>
    <cellStyle name="20% - Accent2" xfId="2" builtinId="3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37C4F-C3F8-1F44-8F85-9EF1D476D3A1}">
  <dimension ref="A1:I129"/>
  <sheetViews>
    <sheetView topLeftCell="A39" zoomScale="75" workbookViewId="0"/>
  </sheetViews>
  <sheetFormatPr baseColWidth="10" defaultRowHeight="16" x14ac:dyDescent="0.2"/>
  <cols>
    <col min="1" max="1" width="17" customWidth="1"/>
    <col min="2" max="2" width="18.33203125" customWidth="1"/>
    <col min="3" max="3" width="11.5" customWidth="1"/>
    <col min="4" max="4" width="27.33203125" customWidth="1"/>
    <col min="5" max="5" width="28.5" customWidth="1"/>
    <col min="6" max="6" width="29.33203125" customWidth="1"/>
  </cols>
  <sheetData>
    <row r="1" spans="1:8" ht="19" x14ac:dyDescent="0.25">
      <c r="A1" s="13" t="s">
        <v>203</v>
      </c>
    </row>
    <row r="2" spans="1:8" ht="19" x14ac:dyDescent="0.25">
      <c r="A2" s="13"/>
    </row>
    <row r="3" spans="1:8" x14ac:dyDescent="0.2">
      <c r="A3" t="s">
        <v>126</v>
      </c>
    </row>
    <row r="4" spans="1:8" x14ac:dyDescent="0.2">
      <c r="A4" s="1" t="s">
        <v>104</v>
      </c>
      <c r="B4" s="1" t="s">
        <v>1</v>
      </c>
      <c r="C4" s="1" t="s">
        <v>0</v>
      </c>
      <c r="D4" s="2" t="s">
        <v>88</v>
      </c>
      <c r="E4" s="1" t="s">
        <v>128</v>
      </c>
      <c r="F4" s="14" t="s">
        <v>105</v>
      </c>
      <c r="G4" s="3"/>
      <c r="H4" s="3"/>
    </row>
    <row r="5" spans="1:8" x14ac:dyDescent="0.2">
      <c r="A5" s="1" t="s">
        <v>23</v>
      </c>
      <c r="B5" s="1" t="s">
        <v>68</v>
      </c>
      <c r="C5" s="1" t="s">
        <v>5</v>
      </c>
      <c r="D5" s="2" t="s">
        <v>200</v>
      </c>
      <c r="E5" s="27" t="s">
        <v>130</v>
      </c>
      <c r="F5" s="28" t="s">
        <v>129</v>
      </c>
      <c r="G5" s="6"/>
      <c r="H5" s="6"/>
    </row>
    <row r="6" spans="1:8" x14ac:dyDescent="0.2">
      <c r="A6" s="1" t="s">
        <v>24</v>
      </c>
      <c r="B6" s="1" t="s">
        <v>68</v>
      </c>
      <c r="C6" s="1" t="s">
        <v>5</v>
      </c>
      <c r="D6" s="2" t="s">
        <v>200</v>
      </c>
      <c r="E6" s="27"/>
      <c r="F6" s="28"/>
      <c r="G6" s="6"/>
      <c r="H6" s="6"/>
    </row>
    <row r="7" spans="1:8" x14ac:dyDescent="0.2">
      <c r="A7" s="1" t="s">
        <v>25</v>
      </c>
      <c r="B7" s="1" t="s">
        <v>68</v>
      </c>
      <c r="C7" s="1" t="s">
        <v>5</v>
      </c>
      <c r="D7" s="2" t="s">
        <v>200</v>
      </c>
      <c r="E7" s="27"/>
      <c r="F7" s="28"/>
      <c r="G7" s="6"/>
      <c r="H7" s="6"/>
    </row>
    <row r="8" spans="1:8" x14ac:dyDescent="0.2">
      <c r="A8" s="1" t="s">
        <v>26</v>
      </c>
      <c r="B8" s="1" t="s">
        <v>69</v>
      </c>
      <c r="C8" s="1" t="s">
        <v>5</v>
      </c>
      <c r="D8" s="2" t="s">
        <v>200</v>
      </c>
      <c r="E8" s="27"/>
      <c r="F8" s="28"/>
      <c r="G8" s="6"/>
      <c r="H8" s="6"/>
    </row>
    <row r="9" spans="1:8" x14ac:dyDescent="0.2">
      <c r="A9" s="1" t="s">
        <v>27</v>
      </c>
      <c r="B9" s="1" t="s">
        <v>69</v>
      </c>
      <c r="C9" s="1" t="s">
        <v>5</v>
      </c>
      <c r="D9" s="2" t="s">
        <v>200</v>
      </c>
      <c r="E9" s="27"/>
      <c r="F9" s="28"/>
      <c r="G9" s="6"/>
      <c r="H9" s="6"/>
    </row>
    <row r="10" spans="1:8" x14ac:dyDescent="0.2">
      <c r="A10" s="1" t="s">
        <v>28</v>
      </c>
      <c r="B10" s="1" t="s">
        <v>69</v>
      </c>
      <c r="C10" s="1" t="s">
        <v>5</v>
      </c>
      <c r="D10" s="2" t="s">
        <v>200</v>
      </c>
      <c r="E10" s="27"/>
      <c r="F10" s="28"/>
      <c r="G10" s="6"/>
      <c r="H10" s="6"/>
    </row>
    <row r="11" spans="1:8" x14ac:dyDescent="0.2">
      <c r="A11" s="1" t="s">
        <v>29</v>
      </c>
      <c r="B11" s="1" t="s">
        <v>70</v>
      </c>
      <c r="C11" s="1" t="s">
        <v>5</v>
      </c>
      <c r="D11" s="2" t="s">
        <v>200</v>
      </c>
      <c r="E11" s="27"/>
      <c r="F11" s="28"/>
      <c r="G11" s="5"/>
      <c r="H11" s="5"/>
    </row>
    <row r="12" spans="1:8" x14ac:dyDescent="0.2">
      <c r="A12" s="1" t="s">
        <v>30</v>
      </c>
      <c r="B12" s="1" t="s">
        <v>70</v>
      </c>
      <c r="C12" s="1" t="s">
        <v>5</v>
      </c>
      <c r="D12" s="2" t="s">
        <v>200</v>
      </c>
      <c r="E12" s="27"/>
      <c r="F12" s="28"/>
      <c r="G12" s="5"/>
      <c r="H12" s="5"/>
    </row>
    <row r="13" spans="1:8" x14ac:dyDescent="0.2">
      <c r="A13" s="1" t="s">
        <v>31</v>
      </c>
      <c r="B13" s="1" t="s">
        <v>70</v>
      </c>
      <c r="C13" s="1" t="s">
        <v>5</v>
      </c>
      <c r="D13" s="2" t="s">
        <v>200</v>
      </c>
      <c r="E13" s="27"/>
      <c r="F13" s="28"/>
      <c r="G13" s="5"/>
      <c r="H13" s="5"/>
    </row>
    <row r="14" spans="1:8" x14ac:dyDescent="0.2">
      <c r="A14" s="1" t="s">
        <v>32</v>
      </c>
      <c r="B14" s="1" t="s">
        <v>71</v>
      </c>
      <c r="C14" s="1" t="s">
        <v>5</v>
      </c>
      <c r="D14" s="2" t="s">
        <v>200</v>
      </c>
      <c r="E14" s="27"/>
      <c r="F14" s="28"/>
      <c r="G14" s="6"/>
      <c r="H14" s="6"/>
    </row>
    <row r="15" spans="1:8" x14ac:dyDescent="0.2">
      <c r="A15" s="1" t="s">
        <v>33</v>
      </c>
      <c r="B15" s="1" t="s">
        <v>71</v>
      </c>
      <c r="C15" s="1" t="s">
        <v>5</v>
      </c>
      <c r="D15" s="2" t="s">
        <v>200</v>
      </c>
      <c r="E15" s="27"/>
      <c r="F15" s="28"/>
      <c r="G15" s="6"/>
      <c r="H15" s="6"/>
    </row>
    <row r="16" spans="1:8" x14ac:dyDescent="0.2">
      <c r="A16" s="1" t="s">
        <v>34</v>
      </c>
      <c r="B16" s="1" t="s">
        <v>71</v>
      </c>
      <c r="C16" s="1" t="s">
        <v>5</v>
      </c>
      <c r="D16" s="2" t="s">
        <v>200</v>
      </c>
      <c r="E16" s="27"/>
      <c r="F16" s="28"/>
      <c r="G16" s="6"/>
      <c r="H16" s="6"/>
    </row>
    <row r="17" spans="1:8" x14ac:dyDescent="0.2">
      <c r="A17" s="1" t="s">
        <v>35</v>
      </c>
      <c r="B17" s="1" t="s">
        <v>72</v>
      </c>
      <c r="C17" s="1" t="s">
        <v>5</v>
      </c>
      <c r="D17" s="2" t="s">
        <v>200</v>
      </c>
      <c r="E17" s="27"/>
      <c r="F17" s="28"/>
      <c r="G17" s="5"/>
      <c r="H17" s="5"/>
    </row>
    <row r="18" spans="1:8" x14ac:dyDescent="0.2">
      <c r="A18" s="1" t="s">
        <v>36</v>
      </c>
      <c r="B18" s="1" t="s">
        <v>72</v>
      </c>
      <c r="C18" s="1" t="s">
        <v>5</v>
      </c>
      <c r="D18" s="2" t="s">
        <v>200</v>
      </c>
      <c r="E18" s="27"/>
      <c r="F18" s="28"/>
      <c r="G18" s="5"/>
      <c r="H18" s="5"/>
    </row>
    <row r="19" spans="1:8" x14ac:dyDescent="0.2">
      <c r="A19" s="1" t="s">
        <v>37</v>
      </c>
      <c r="B19" s="1" t="s">
        <v>72</v>
      </c>
      <c r="C19" s="1" t="s">
        <v>5</v>
      </c>
      <c r="D19" s="2" t="s">
        <v>200</v>
      </c>
      <c r="E19" s="27"/>
      <c r="F19" s="28"/>
      <c r="G19" s="5"/>
      <c r="H19" s="5"/>
    </row>
    <row r="20" spans="1:8" x14ac:dyDescent="0.2">
      <c r="A20" s="1" t="s">
        <v>8</v>
      </c>
      <c r="B20" s="1" t="s">
        <v>73</v>
      </c>
      <c r="C20" s="1" t="s">
        <v>5</v>
      </c>
      <c r="D20" s="2" t="s">
        <v>201</v>
      </c>
      <c r="E20" s="27"/>
      <c r="F20" s="28"/>
      <c r="G20" s="6"/>
      <c r="H20" s="6"/>
    </row>
    <row r="21" spans="1:8" x14ac:dyDescent="0.2">
      <c r="A21" s="1" t="s">
        <v>9</v>
      </c>
      <c r="B21" s="1" t="s">
        <v>73</v>
      </c>
      <c r="C21" s="1" t="s">
        <v>5</v>
      </c>
      <c r="D21" s="2" t="s">
        <v>201</v>
      </c>
      <c r="E21" s="27"/>
      <c r="F21" s="28"/>
      <c r="G21" s="6"/>
      <c r="H21" s="6"/>
    </row>
    <row r="22" spans="1:8" x14ac:dyDescent="0.2">
      <c r="A22" s="1" t="s">
        <v>10</v>
      </c>
      <c r="B22" s="1" t="s">
        <v>73</v>
      </c>
      <c r="C22" s="1" t="s">
        <v>5</v>
      </c>
      <c r="D22" s="2" t="s">
        <v>201</v>
      </c>
      <c r="E22" s="27"/>
      <c r="F22" s="28"/>
      <c r="G22" s="6"/>
      <c r="H22" s="6"/>
    </row>
    <row r="23" spans="1:8" x14ac:dyDescent="0.2">
      <c r="A23" s="1" t="s">
        <v>11</v>
      </c>
      <c r="B23" s="1" t="s">
        <v>74</v>
      </c>
      <c r="C23" s="1" t="s">
        <v>5</v>
      </c>
      <c r="D23" s="2" t="s">
        <v>201</v>
      </c>
      <c r="E23" s="27"/>
      <c r="F23" s="28"/>
      <c r="G23" s="6"/>
      <c r="H23" s="6"/>
    </row>
    <row r="24" spans="1:8" x14ac:dyDescent="0.2">
      <c r="A24" s="1" t="s">
        <v>12</v>
      </c>
      <c r="B24" s="1" t="s">
        <v>74</v>
      </c>
      <c r="C24" s="1" t="s">
        <v>5</v>
      </c>
      <c r="D24" s="2" t="s">
        <v>201</v>
      </c>
      <c r="E24" s="27"/>
      <c r="F24" s="28"/>
      <c r="G24" s="6"/>
      <c r="H24" s="6"/>
    </row>
    <row r="25" spans="1:8" x14ac:dyDescent="0.2">
      <c r="A25" s="1" t="s">
        <v>13</v>
      </c>
      <c r="B25" s="1" t="s">
        <v>74</v>
      </c>
      <c r="C25" s="1" t="s">
        <v>5</v>
      </c>
      <c r="D25" s="2" t="s">
        <v>201</v>
      </c>
      <c r="E25" s="27"/>
      <c r="F25" s="28"/>
      <c r="G25" s="6"/>
      <c r="H25" s="6"/>
    </row>
    <row r="26" spans="1:8" x14ac:dyDescent="0.2">
      <c r="A26" s="1" t="s">
        <v>14</v>
      </c>
      <c r="B26" s="1" t="s">
        <v>75</v>
      </c>
      <c r="C26" s="1" t="s">
        <v>5</v>
      </c>
      <c r="D26" s="2" t="s">
        <v>201</v>
      </c>
      <c r="E26" s="27"/>
      <c r="F26" s="28"/>
      <c r="G26" s="5"/>
      <c r="H26" s="5"/>
    </row>
    <row r="27" spans="1:8" x14ac:dyDescent="0.2">
      <c r="A27" s="1" t="s">
        <v>15</v>
      </c>
      <c r="B27" s="1" t="s">
        <v>75</v>
      </c>
      <c r="C27" s="1" t="s">
        <v>5</v>
      </c>
      <c r="D27" s="2" t="s">
        <v>201</v>
      </c>
      <c r="E27" s="27"/>
      <c r="F27" s="28"/>
      <c r="G27" s="5"/>
      <c r="H27" s="5"/>
    </row>
    <row r="28" spans="1:8" x14ac:dyDescent="0.2">
      <c r="A28" s="1" t="s">
        <v>16</v>
      </c>
      <c r="B28" s="1" t="s">
        <v>75</v>
      </c>
      <c r="C28" s="1" t="s">
        <v>5</v>
      </c>
      <c r="D28" s="2" t="s">
        <v>201</v>
      </c>
      <c r="E28" s="27"/>
      <c r="F28" s="28"/>
      <c r="G28" s="5"/>
      <c r="H28" s="5"/>
    </row>
    <row r="29" spans="1:8" x14ac:dyDescent="0.2">
      <c r="A29" s="1" t="s">
        <v>17</v>
      </c>
      <c r="B29" s="1" t="s">
        <v>76</v>
      </c>
      <c r="C29" s="1" t="s">
        <v>5</v>
      </c>
      <c r="D29" s="2" t="s">
        <v>201</v>
      </c>
      <c r="E29" s="27"/>
      <c r="F29" s="28"/>
      <c r="G29" s="6"/>
      <c r="H29" s="6"/>
    </row>
    <row r="30" spans="1:8" x14ac:dyDescent="0.2">
      <c r="A30" s="1" t="s">
        <v>18</v>
      </c>
      <c r="B30" s="1" t="s">
        <v>76</v>
      </c>
      <c r="C30" s="1" t="s">
        <v>5</v>
      </c>
      <c r="D30" s="2" t="s">
        <v>201</v>
      </c>
      <c r="E30" s="27"/>
      <c r="F30" s="28"/>
      <c r="G30" s="6"/>
      <c r="H30" s="6"/>
    </row>
    <row r="31" spans="1:8" x14ac:dyDescent="0.2">
      <c r="A31" s="1" t="s">
        <v>19</v>
      </c>
      <c r="B31" s="1" t="s">
        <v>76</v>
      </c>
      <c r="C31" s="1" t="s">
        <v>5</v>
      </c>
      <c r="D31" s="2" t="s">
        <v>201</v>
      </c>
      <c r="E31" s="27"/>
      <c r="F31" s="28"/>
      <c r="G31" s="6"/>
      <c r="H31" s="6"/>
    </row>
    <row r="32" spans="1:8" x14ac:dyDescent="0.2">
      <c r="A32" s="1" t="s">
        <v>20</v>
      </c>
      <c r="B32" s="1" t="s">
        <v>77</v>
      </c>
      <c r="C32" s="1" t="s">
        <v>5</v>
      </c>
      <c r="D32" s="2" t="s">
        <v>201</v>
      </c>
      <c r="E32" s="27"/>
      <c r="F32" s="28"/>
      <c r="G32" s="5"/>
      <c r="H32" s="5"/>
    </row>
    <row r="33" spans="1:8" x14ac:dyDescent="0.2">
      <c r="A33" s="1" t="s">
        <v>21</v>
      </c>
      <c r="B33" s="1" t="s">
        <v>77</v>
      </c>
      <c r="C33" s="1" t="s">
        <v>5</v>
      </c>
      <c r="D33" s="2" t="s">
        <v>201</v>
      </c>
      <c r="E33" s="27"/>
      <c r="F33" s="28"/>
      <c r="G33" s="5"/>
      <c r="H33" s="5"/>
    </row>
    <row r="34" spans="1:8" x14ac:dyDescent="0.2">
      <c r="A34" s="1" t="s">
        <v>22</v>
      </c>
      <c r="B34" s="1" t="s">
        <v>77</v>
      </c>
      <c r="C34" s="1" t="s">
        <v>5</v>
      </c>
      <c r="D34" s="2" t="s">
        <v>201</v>
      </c>
      <c r="E34" s="27"/>
      <c r="F34" s="28"/>
      <c r="G34" s="5"/>
      <c r="H34" s="5"/>
    </row>
    <row r="35" spans="1:8" x14ac:dyDescent="0.2">
      <c r="A35" s="1" t="s">
        <v>53</v>
      </c>
      <c r="B35" s="1" t="s">
        <v>78</v>
      </c>
      <c r="C35" s="1" t="s">
        <v>7</v>
      </c>
      <c r="D35" s="2" t="s">
        <v>200</v>
      </c>
      <c r="E35" s="27"/>
      <c r="F35" s="28"/>
      <c r="G35" s="6"/>
      <c r="H35" s="6"/>
    </row>
    <row r="36" spans="1:8" x14ac:dyDescent="0.2">
      <c r="A36" s="1" t="s">
        <v>54</v>
      </c>
      <c r="B36" s="1" t="s">
        <v>78</v>
      </c>
      <c r="C36" s="1" t="s">
        <v>7</v>
      </c>
      <c r="D36" s="2" t="s">
        <v>200</v>
      </c>
      <c r="E36" s="27"/>
      <c r="F36" s="28"/>
      <c r="G36" s="6"/>
      <c r="H36" s="6"/>
    </row>
    <row r="37" spans="1:8" x14ac:dyDescent="0.2">
      <c r="A37" s="1" t="s">
        <v>55</v>
      </c>
      <c r="B37" s="1" t="s">
        <v>78</v>
      </c>
      <c r="C37" s="1" t="s">
        <v>7</v>
      </c>
      <c r="D37" s="2" t="s">
        <v>200</v>
      </c>
      <c r="E37" s="27"/>
      <c r="F37" s="28"/>
      <c r="G37" s="6"/>
      <c r="H37" s="6"/>
    </row>
    <row r="38" spans="1:8" x14ac:dyDescent="0.2">
      <c r="A38" s="1" t="s">
        <v>56</v>
      </c>
      <c r="B38" s="1" t="s">
        <v>79</v>
      </c>
      <c r="C38" s="1" t="s">
        <v>7</v>
      </c>
      <c r="D38" s="2" t="s">
        <v>200</v>
      </c>
      <c r="E38" s="27"/>
      <c r="F38" s="28"/>
      <c r="G38" s="6"/>
      <c r="H38" s="6"/>
    </row>
    <row r="39" spans="1:8" x14ac:dyDescent="0.2">
      <c r="A39" s="1" t="s">
        <v>57</v>
      </c>
      <c r="B39" s="1" t="s">
        <v>79</v>
      </c>
      <c r="C39" s="1" t="s">
        <v>7</v>
      </c>
      <c r="D39" s="2" t="s">
        <v>200</v>
      </c>
      <c r="E39" s="27"/>
      <c r="F39" s="28"/>
      <c r="G39" s="6"/>
      <c r="H39" s="6"/>
    </row>
    <row r="40" spans="1:8" x14ac:dyDescent="0.2">
      <c r="A40" s="1" t="s">
        <v>58</v>
      </c>
      <c r="B40" s="1" t="s">
        <v>79</v>
      </c>
      <c r="C40" s="1" t="s">
        <v>7</v>
      </c>
      <c r="D40" s="2" t="s">
        <v>200</v>
      </c>
      <c r="E40" s="27"/>
      <c r="F40" s="28"/>
      <c r="G40" s="6"/>
      <c r="H40" s="6"/>
    </row>
    <row r="41" spans="1:8" x14ac:dyDescent="0.2">
      <c r="A41" s="1" t="s">
        <v>59</v>
      </c>
      <c r="B41" s="1" t="s">
        <v>80</v>
      </c>
      <c r="C41" s="1" t="s">
        <v>7</v>
      </c>
      <c r="D41" s="2" t="s">
        <v>200</v>
      </c>
      <c r="E41" s="27"/>
      <c r="F41" s="28"/>
      <c r="G41" s="5"/>
      <c r="H41" s="5"/>
    </row>
    <row r="42" spans="1:8" x14ac:dyDescent="0.2">
      <c r="A42" s="1" t="s">
        <v>60</v>
      </c>
      <c r="B42" s="1" t="s">
        <v>80</v>
      </c>
      <c r="C42" s="1" t="s">
        <v>7</v>
      </c>
      <c r="D42" s="2" t="s">
        <v>200</v>
      </c>
      <c r="E42" s="27"/>
      <c r="F42" s="28"/>
      <c r="G42" s="5"/>
      <c r="H42" s="5"/>
    </row>
    <row r="43" spans="1:8" x14ac:dyDescent="0.2">
      <c r="A43" s="1" t="s">
        <v>61</v>
      </c>
      <c r="B43" s="1" t="s">
        <v>80</v>
      </c>
      <c r="C43" s="1" t="s">
        <v>7</v>
      </c>
      <c r="D43" s="2" t="s">
        <v>200</v>
      </c>
      <c r="E43" s="27"/>
      <c r="F43" s="28"/>
      <c r="G43" s="5"/>
      <c r="H43" s="5"/>
    </row>
    <row r="44" spans="1:8" x14ac:dyDescent="0.2">
      <c r="A44" s="1" t="s">
        <v>62</v>
      </c>
      <c r="B44" s="1" t="s">
        <v>81</v>
      </c>
      <c r="C44" s="1" t="s">
        <v>7</v>
      </c>
      <c r="D44" s="2" t="s">
        <v>200</v>
      </c>
      <c r="E44" s="27"/>
      <c r="F44" s="28"/>
      <c r="G44" s="6"/>
      <c r="H44" s="6"/>
    </row>
    <row r="45" spans="1:8" x14ac:dyDescent="0.2">
      <c r="A45" s="1" t="s">
        <v>63</v>
      </c>
      <c r="B45" s="1" t="s">
        <v>81</v>
      </c>
      <c r="C45" s="1" t="s">
        <v>7</v>
      </c>
      <c r="D45" s="2" t="s">
        <v>200</v>
      </c>
      <c r="E45" s="27"/>
      <c r="F45" s="28"/>
      <c r="G45" s="6"/>
      <c r="H45" s="6"/>
    </row>
    <row r="46" spans="1:8" x14ac:dyDescent="0.2">
      <c r="A46" s="1" t="s">
        <v>64</v>
      </c>
      <c r="B46" s="1" t="s">
        <v>81</v>
      </c>
      <c r="C46" s="1" t="s">
        <v>7</v>
      </c>
      <c r="D46" s="2" t="s">
        <v>200</v>
      </c>
      <c r="E46" s="27"/>
      <c r="F46" s="28"/>
      <c r="G46" s="6"/>
      <c r="H46" s="6"/>
    </row>
    <row r="47" spans="1:8" x14ac:dyDescent="0.2">
      <c r="A47" s="1" t="s">
        <v>65</v>
      </c>
      <c r="B47" s="1" t="s">
        <v>82</v>
      </c>
      <c r="C47" s="1" t="s">
        <v>7</v>
      </c>
      <c r="D47" s="2" t="s">
        <v>200</v>
      </c>
      <c r="E47" s="27"/>
      <c r="F47" s="28"/>
      <c r="G47" s="5"/>
      <c r="H47" s="5"/>
    </row>
    <row r="48" spans="1:8" x14ac:dyDescent="0.2">
      <c r="A48" s="1" t="s">
        <v>66</v>
      </c>
      <c r="B48" s="1" t="s">
        <v>82</v>
      </c>
      <c r="C48" s="1" t="s">
        <v>7</v>
      </c>
      <c r="D48" s="2" t="s">
        <v>200</v>
      </c>
      <c r="E48" s="27"/>
      <c r="F48" s="28"/>
      <c r="G48" s="5"/>
      <c r="H48" s="5"/>
    </row>
    <row r="49" spans="1:9" x14ac:dyDescent="0.2">
      <c r="A49" s="1" t="s">
        <v>67</v>
      </c>
      <c r="B49" s="1" t="s">
        <v>82</v>
      </c>
      <c r="C49" s="1" t="s">
        <v>7</v>
      </c>
      <c r="D49" s="2" t="s">
        <v>200</v>
      </c>
      <c r="E49" s="27"/>
      <c r="F49" s="28"/>
      <c r="G49" s="5"/>
      <c r="H49" s="5"/>
    </row>
    <row r="50" spans="1:9" x14ac:dyDescent="0.2">
      <c r="A50" s="1" t="s">
        <v>38</v>
      </c>
      <c r="B50" s="1" t="s">
        <v>83</v>
      </c>
      <c r="C50" s="1" t="s">
        <v>7</v>
      </c>
      <c r="D50" s="2" t="s">
        <v>201</v>
      </c>
      <c r="E50" s="27"/>
      <c r="F50" s="28"/>
      <c r="G50" s="6"/>
      <c r="H50" s="6"/>
      <c r="I50" s="15"/>
    </row>
    <row r="51" spans="1:9" x14ac:dyDescent="0.2">
      <c r="A51" s="1" t="s">
        <v>39</v>
      </c>
      <c r="B51" s="1" t="s">
        <v>83</v>
      </c>
      <c r="C51" s="1" t="s">
        <v>7</v>
      </c>
      <c r="D51" s="2" t="s">
        <v>201</v>
      </c>
      <c r="E51" s="27"/>
      <c r="F51" s="28"/>
      <c r="G51" s="6"/>
      <c r="H51" s="6"/>
    </row>
    <row r="52" spans="1:9" x14ac:dyDescent="0.2">
      <c r="A52" s="1" t="s">
        <v>40</v>
      </c>
      <c r="B52" s="1" t="s">
        <v>83</v>
      </c>
      <c r="C52" s="1" t="s">
        <v>7</v>
      </c>
      <c r="D52" s="2" t="s">
        <v>201</v>
      </c>
      <c r="E52" s="27"/>
      <c r="F52" s="28"/>
      <c r="G52" s="6"/>
      <c r="H52" s="6"/>
    </row>
    <row r="53" spans="1:9" x14ac:dyDescent="0.2">
      <c r="A53" s="1" t="s">
        <v>41</v>
      </c>
      <c r="B53" s="1" t="s">
        <v>84</v>
      </c>
      <c r="C53" s="1" t="s">
        <v>7</v>
      </c>
      <c r="D53" s="2" t="s">
        <v>201</v>
      </c>
      <c r="E53" s="27"/>
      <c r="F53" s="28"/>
      <c r="G53" s="6"/>
      <c r="H53" s="6"/>
    </row>
    <row r="54" spans="1:9" x14ac:dyDescent="0.2">
      <c r="A54" s="1" t="s">
        <v>42</v>
      </c>
      <c r="B54" s="1" t="s">
        <v>84</v>
      </c>
      <c r="C54" s="1" t="s">
        <v>7</v>
      </c>
      <c r="D54" s="2" t="s">
        <v>201</v>
      </c>
      <c r="E54" s="27"/>
      <c r="F54" s="28"/>
      <c r="G54" s="6"/>
      <c r="H54" s="6"/>
    </row>
    <row r="55" spans="1:9" x14ac:dyDescent="0.2">
      <c r="A55" s="1" t="s">
        <v>43</v>
      </c>
      <c r="B55" s="1" t="s">
        <v>84</v>
      </c>
      <c r="C55" s="1" t="s">
        <v>7</v>
      </c>
      <c r="D55" s="2" t="s">
        <v>201</v>
      </c>
      <c r="E55" s="27"/>
      <c r="F55" s="28"/>
      <c r="G55" s="6"/>
      <c r="H55" s="6"/>
    </row>
    <row r="56" spans="1:9" x14ac:dyDescent="0.2">
      <c r="A56" s="1" t="s">
        <v>44</v>
      </c>
      <c r="B56" s="1" t="s">
        <v>85</v>
      </c>
      <c r="C56" s="1" t="s">
        <v>7</v>
      </c>
      <c r="D56" s="2" t="s">
        <v>201</v>
      </c>
      <c r="E56" s="27"/>
      <c r="F56" s="28"/>
      <c r="G56" s="5"/>
      <c r="H56" s="5"/>
    </row>
    <row r="57" spans="1:9" x14ac:dyDescent="0.2">
      <c r="A57" s="1" t="s">
        <v>45</v>
      </c>
      <c r="B57" s="1" t="s">
        <v>85</v>
      </c>
      <c r="C57" s="1" t="s">
        <v>7</v>
      </c>
      <c r="D57" s="2" t="s">
        <v>201</v>
      </c>
      <c r="E57" s="27"/>
      <c r="F57" s="28"/>
      <c r="G57" s="5"/>
      <c r="H57" s="5"/>
    </row>
    <row r="58" spans="1:9" x14ac:dyDescent="0.2">
      <c r="A58" s="1" t="s">
        <v>46</v>
      </c>
      <c r="B58" s="1" t="s">
        <v>85</v>
      </c>
      <c r="C58" s="1" t="s">
        <v>7</v>
      </c>
      <c r="D58" s="2" t="s">
        <v>201</v>
      </c>
      <c r="E58" s="27"/>
      <c r="F58" s="28"/>
      <c r="G58" s="5"/>
      <c r="H58" s="5"/>
    </row>
    <row r="59" spans="1:9" x14ac:dyDescent="0.2">
      <c r="A59" s="1" t="s">
        <v>47</v>
      </c>
      <c r="B59" s="1" t="s">
        <v>86</v>
      </c>
      <c r="C59" s="1" t="s">
        <v>7</v>
      </c>
      <c r="D59" s="2" t="s">
        <v>201</v>
      </c>
      <c r="E59" s="27"/>
      <c r="F59" s="28"/>
      <c r="G59" s="6"/>
      <c r="H59" s="6"/>
    </row>
    <row r="60" spans="1:9" x14ac:dyDescent="0.2">
      <c r="A60" s="1" t="s">
        <v>48</v>
      </c>
      <c r="B60" s="1" t="s">
        <v>86</v>
      </c>
      <c r="C60" s="1" t="s">
        <v>7</v>
      </c>
      <c r="D60" s="2" t="s">
        <v>201</v>
      </c>
      <c r="E60" s="27"/>
      <c r="F60" s="28"/>
      <c r="G60" s="6"/>
      <c r="H60" s="6"/>
    </row>
    <row r="61" spans="1:9" x14ac:dyDescent="0.2">
      <c r="A61" s="1" t="s">
        <v>49</v>
      </c>
      <c r="B61" s="1" t="s">
        <v>86</v>
      </c>
      <c r="C61" s="1" t="s">
        <v>7</v>
      </c>
      <c r="D61" s="2" t="s">
        <v>201</v>
      </c>
      <c r="E61" s="27"/>
      <c r="F61" s="28"/>
      <c r="G61" s="6"/>
      <c r="H61" s="6"/>
    </row>
    <row r="62" spans="1:9" x14ac:dyDescent="0.2">
      <c r="A62" s="1" t="s">
        <v>50</v>
      </c>
      <c r="B62" s="1" t="s">
        <v>87</v>
      </c>
      <c r="C62" s="1" t="s">
        <v>7</v>
      </c>
      <c r="D62" s="2" t="s">
        <v>201</v>
      </c>
      <c r="E62" s="27"/>
      <c r="F62" s="28"/>
      <c r="G62" s="5"/>
      <c r="H62" s="5"/>
    </row>
    <row r="63" spans="1:9" x14ac:dyDescent="0.2">
      <c r="A63" s="1" t="s">
        <v>51</v>
      </c>
      <c r="B63" s="1" t="s">
        <v>87</v>
      </c>
      <c r="C63" s="1" t="s">
        <v>7</v>
      </c>
      <c r="D63" s="2" t="s">
        <v>201</v>
      </c>
      <c r="E63" s="27"/>
      <c r="F63" s="28"/>
      <c r="G63" s="5"/>
      <c r="H63" s="5"/>
    </row>
    <row r="64" spans="1:9" x14ac:dyDescent="0.2">
      <c r="A64" s="1" t="s">
        <v>52</v>
      </c>
      <c r="B64" s="1" t="s">
        <v>87</v>
      </c>
      <c r="C64" s="1" t="s">
        <v>7</v>
      </c>
      <c r="D64" s="2" t="s">
        <v>201</v>
      </c>
      <c r="E64" s="27"/>
      <c r="F64" s="28"/>
      <c r="G64" s="5"/>
      <c r="H64" s="5"/>
    </row>
    <row r="65" spans="1:8" x14ac:dyDescent="0.2">
      <c r="A65" s="1"/>
      <c r="B65" s="1"/>
      <c r="C65" s="1"/>
      <c r="D65" s="2"/>
      <c r="E65" s="4"/>
      <c r="F65" s="5"/>
      <c r="G65" s="5"/>
      <c r="H65" s="5"/>
    </row>
    <row r="66" spans="1:8" x14ac:dyDescent="0.2">
      <c r="A66" s="1"/>
      <c r="B66" s="1"/>
      <c r="C66" s="1"/>
      <c r="D66" s="2"/>
      <c r="E66" s="4"/>
      <c r="F66" s="5"/>
      <c r="G66" s="5"/>
      <c r="H66" s="5"/>
    </row>
    <row r="67" spans="1:8" x14ac:dyDescent="0.2">
      <c r="A67" s="1"/>
      <c r="B67" s="1"/>
      <c r="C67" s="1"/>
      <c r="D67" s="2"/>
      <c r="E67" s="4"/>
      <c r="F67" s="5"/>
      <c r="G67" s="5"/>
      <c r="H67" s="5"/>
    </row>
    <row r="68" spans="1:8" x14ac:dyDescent="0.2">
      <c r="A68" t="s">
        <v>127</v>
      </c>
    </row>
    <row r="69" spans="1:8" x14ac:dyDescent="0.2">
      <c r="A69" s="1" t="s">
        <v>1</v>
      </c>
      <c r="B69" s="1" t="s">
        <v>0</v>
      </c>
      <c r="C69" s="2" t="s">
        <v>88</v>
      </c>
      <c r="D69" s="14" t="s">
        <v>105</v>
      </c>
    </row>
    <row r="70" spans="1:8" x14ac:dyDescent="0.2">
      <c r="A70" s="1" t="s">
        <v>106</v>
      </c>
      <c r="B70" s="1" t="s">
        <v>5</v>
      </c>
      <c r="C70" s="2" t="s">
        <v>200</v>
      </c>
      <c r="D70" s="28" t="s">
        <v>131</v>
      </c>
    </row>
    <row r="71" spans="1:8" x14ac:dyDescent="0.2">
      <c r="A71" s="1" t="s">
        <v>107</v>
      </c>
      <c r="B71" s="1" t="s">
        <v>5</v>
      </c>
      <c r="C71" s="2" t="s">
        <v>200</v>
      </c>
      <c r="D71" s="28"/>
      <c r="E71" s="14"/>
    </row>
    <row r="72" spans="1:8" x14ac:dyDescent="0.2">
      <c r="A72" s="1" t="s">
        <v>108</v>
      </c>
      <c r="B72" s="1" t="s">
        <v>5</v>
      </c>
      <c r="C72" s="2" t="s">
        <v>200</v>
      </c>
      <c r="D72" s="28"/>
      <c r="E72" s="6"/>
    </row>
    <row r="73" spans="1:8" x14ac:dyDescent="0.2">
      <c r="A73" s="1" t="s">
        <v>109</v>
      </c>
      <c r="B73" s="1" t="s">
        <v>5</v>
      </c>
      <c r="C73" s="2" t="s">
        <v>200</v>
      </c>
      <c r="D73" s="28"/>
      <c r="E73" s="6"/>
    </row>
    <row r="74" spans="1:8" x14ac:dyDescent="0.2">
      <c r="A74" s="1" t="s">
        <v>110</v>
      </c>
      <c r="B74" s="1" t="s">
        <v>5</v>
      </c>
      <c r="C74" s="2" t="s">
        <v>200</v>
      </c>
      <c r="D74" s="28"/>
      <c r="E74" s="6"/>
    </row>
    <row r="75" spans="1:8" x14ac:dyDescent="0.2">
      <c r="A75" s="1" t="s">
        <v>111</v>
      </c>
      <c r="B75" s="1" t="s">
        <v>5</v>
      </c>
      <c r="C75" s="2" t="s">
        <v>201</v>
      </c>
      <c r="D75" s="28"/>
      <c r="E75" s="6"/>
    </row>
    <row r="76" spans="1:8" x14ac:dyDescent="0.2">
      <c r="A76" s="1" t="s">
        <v>112</v>
      </c>
      <c r="B76" s="1" t="s">
        <v>5</v>
      </c>
      <c r="C76" s="2" t="s">
        <v>201</v>
      </c>
      <c r="D76" s="28"/>
      <c r="E76" s="5"/>
    </row>
    <row r="77" spans="1:8" x14ac:dyDescent="0.2">
      <c r="A77" s="1" t="s">
        <v>113</v>
      </c>
      <c r="B77" s="1" t="s">
        <v>5</v>
      </c>
      <c r="C77" s="2" t="s">
        <v>201</v>
      </c>
      <c r="D77" s="28"/>
      <c r="E77" s="5"/>
    </row>
    <row r="78" spans="1:8" x14ac:dyDescent="0.2">
      <c r="A78" s="1" t="s">
        <v>114</v>
      </c>
      <c r="B78" s="1" t="s">
        <v>5</v>
      </c>
      <c r="C78" s="2" t="s">
        <v>201</v>
      </c>
      <c r="D78" s="28"/>
      <c r="E78" s="5"/>
    </row>
    <row r="79" spans="1:8" x14ac:dyDescent="0.2">
      <c r="A79" s="1" t="s">
        <v>115</v>
      </c>
      <c r="B79" s="1" t="s">
        <v>5</v>
      </c>
      <c r="C79" s="2" t="s">
        <v>201</v>
      </c>
      <c r="D79" s="28"/>
      <c r="E79" s="6"/>
    </row>
    <row r="80" spans="1:8" x14ac:dyDescent="0.2">
      <c r="A80" s="1" t="s">
        <v>116</v>
      </c>
      <c r="B80" s="1" t="s">
        <v>7</v>
      </c>
      <c r="C80" s="2" t="s">
        <v>200</v>
      </c>
      <c r="D80" s="28"/>
      <c r="E80" s="6"/>
    </row>
    <row r="81" spans="1:5" x14ac:dyDescent="0.2">
      <c r="A81" s="1" t="s">
        <v>117</v>
      </c>
      <c r="B81" s="1" t="s">
        <v>7</v>
      </c>
      <c r="C81" s="2" t="s">
        <v>200</v>
      </c>
      <c r="D81" s="28"/>
      <c r="E81" s="6"/>
    </row>
    <row r="82" spans="1:5" x14ac:dyDescent="0.2">
      <c r="A82" s="1" t="s">
        <v>118</v>
      </c>
      <c r="B82" s="1" t="s">
        <v>7</v>
      </c>
      <c r="C82" s="2" t="s">
        <v>200</v>
      </c>
      <c r="D82" s="28"/>
      <c r="E82" s="5"/>
    </row>
    <row r="83" spans="1:5" x14ac:dyDescent="0.2">
      <c r="A83" s="1" t="s">
        <v>119</v>
      </c>
      <c r="B83" s="1" t="s">
        <v>7</v>
      </c>
      <c r="C83" s="2" t="s">
        <v>200</v>
      </c>
      <c r="D83" s="28"/>
      <c r="E83" s="5"/>
    </row>
    <row r="84" spans="1:5" x14ac:dyDescent="0.2">
      <c r="A84" s="1" t="s">
        <v>120</v>
      </c>
      <c r="B84" s="1" t="s">
        <v>7</v>
      </c>
      <c r="C84" s="2" t="s">
        <v>200</v>
      </c>
      <c r="D84" s="28"/>
      <c r="E84" s="5"/>
    </row>
    <row r="85" spans="1:5" x14ac:dyDescent="0.2">
      <c r="A85" s="1" t="s">
        <v>121</v>
      </c>
      <c r="B85" s="1" t="s">
        <v>7</v>
      </c>
      <c r="C85" s="2" t="s">
        <v>201</v>
      </c>
      <c r="D85" s="28"/>
      <c r="E85" s="6"/>
    </row>
    <row r="86" spans="1:5" x14ac:dyDescent="0.2">
      <c r="A86" s="1" t="s">
        <v>122</v>
      </c>
      <c r="B86" s="1" t="s">
        <v>7</v>
      </c>
      <c r="C86" s="2" t="s">
        <v>201</v>
      </c>
      <c r="D86" s="28"/>
      <c r="E86" s="6"/>
    </row>
    <row r="87" spans="1:5" x14ac:dyDescent="0.2">
      <c r="A87" s="1" t="s">
        <v>123</v>
      </c>
      <c r="B87" s="1" t="s">
        <v>7</v>
      </c>
      <c r="C87" s="2" t="s">
        <v>201</v>
      </c>
      <c r="D87" s="28"/>
      <c r="E87" s="6"/>
    </row>
    <row r="88" spans="1:5" x14ac:dyDescent="0.2">
      <c r="A88" s="1" t="s">
        <v>124</v>
      </c>
      <c r="B88" s="1" t="s">
        <v>7</v>
      </c>
      <c r="C88" s="2" t="s">
        <v>201</v>
      </c>
      <c r="D88" s="28"/>
      <c r="E88" s="6"/>
    </row>
    <row r="89" spans="1:5" x14ac:dyDescent="0.2">
      <c r="A89" s="1" t="s">
        <v>125</v>
      </c>
      <c r="B89" s="1" t="s">
        <v>7</v>
      </c>
      <c r="C89" s="2" t="s">
        <v>201</v>
      </c>
      <c r="D89" s="28"/>
      <c r="E89" s="6"/>
    </row>
    <row r="90" spans="1:5" x14ac:dyDescent="0.2">
      <c r="A90" s="1"/>
      <c r="B90" s="1"/>
      <c r="C90" s="2"/>
      <c r="D90" s="4"/>
      <c r="E90" s="6"/>
    </row>
    <row r="91" spans="1:5" x14ac:dyDescent="0.2">
      <c r="A91" s="1"/>
      <c r="B91" s="1"/>
      <c r="C91" s="2"/>
      <c r="D91" s="4"/>
      <c r="E91" s="5"/>
    </row>
    <row r="92" spans="1:5" x14ac:dyDescent="0.2">
      <c r="A92" s="1"/>
      <c r="B92" s="1"/>
      <c r="C92" s="2"/>
      <c r="D92" s="4"/>
      <c r="E92" s="5"/>
    </row>
    <row r="93" spans="1:5" x14ac:dyDescent="0.2">
      <c r="A93" s="1"/>
      <c r="B93" s="1"/>
      <c r="C93" s="2"/>
      <c r="D93" s="4"/>
      <c r="E93" s="5"/>
    </row>
    <row r="94" spans="1:5" x14ac:dyDescent="0.2">
      <c r="A94" s="1"/>
      <c r="B94" s="1"/>
      <c r="C94" s="2"/>
      <c r="D94" s="4"/>
      <c r="E94" s="6"/>
    </row>
    <row r="95" spans="1:5" x14ac:dyDescent="0.2">
      <c r="A95" s="1"/>
      <c r="B95" s="1"/>
      <c r="C95" s="2"/>
      <c r="D95" s="4"/>
      <c r="E95" s="6"/>
    </row>
    <row r="96" spans="1:5" x14ac:dyDescent="0.2">
      <c r="A96" s="1"/>
      <c r="B96" s="1"/>
      <c r="C96" s="2"/>
      <c r="D96" s="4"/>
      <c r="E96" s="6"/>
    </row>
    <row r="97" spans="1:5" x14ac:dyDescent="0.2">
      <c r="A97" s="1"/>
      <c r="B97" s="1"/>
      <c r="C97" s="2"/>
      <c r="D97" s="4"/>
      <c r="E97" s="5"/>
    </row>
    <row r="98" spans="1:5" x14ac:dyDescent="0.2">
      <c r="A98" s="1"/>
      <c r="B98" s="1"/>
      <c r="C98" s="2"/>
      <c r="D98" s="4"/>
      <c r="E98" s="5"/>
    </row>
    <row r="99" spans="1:5" x14ac:dyDescent="0.2">
      <c r="A99" s="1"/>
      <c r="B99" s="1"/>
      <c r="C99" s="2"/>
      <c r="D99" s="4"/>
      <c r="E99" s="5"/>
    </row>
    <row r="100" spans="1:5" x14ac:dyDescent="0.2">
      <c r="A100" s="1"/>
      <c r="B100" s="1"/>
      <c r="C100" s="2"/>
      <c r="D100" s="4"/>
      <c r="E100" s="6"/>
    </row>
    <row r="101" spans="1:5" x14ac:dyDescent="0.2">
      <c r="A101" s="1"/>
      <c r="B101" s="1"/>
      <c r="C101" s="2"/>
      <c r="D101" s="4"/>
      <c r="E101" s="6"/>
    </row>
    <row r="102" spans="1:5" x14ac:dyDescent="0.2">
      <c r="A102" s="1"/>
      <c r="B102" s="1"/>
      <c r="C102" s="2"/>
      <c r="D102" s="4"/>
      <c r="E102" s="6"/>
    </row>
    <row r="103" spans="1:5" x14ac:dyDescent="0.2">
      <c r="A103" s="1"/>
      <c r="B103" s="1"/>
      <c r="C103" s="2"/>
      <c r="D103" s="4"/>
      <c r="E103" s="6"/>
    </row>
    <row r="104" spans="1:5" x14ac:dyDescent="0.2">
      <c r="A104" s="1"/>
      <c r="B104" s="1"/>
      <c r="C104" s="2"/>
      <c r="D104" s="4"/>
      <c r="E104" s="6"/>
    </row>
    <row r="105" spans="1:5" x14ac:dyDescent="0.2">
      <c r="A105" s="1"/>
      <c r="B105" s="1"/>
      <c r="C105" s="2"/>
      <c r="D105" s="4"/>
      <c r="E105" s="6"/>
    </row>
    <row r="106" spans="1:5" x14ac:dyDescent="0.2">
      <c r="A106" s="1"/>
      <c r="B106" s="1"/>
      <c r="C106" s="2"/>
      <c r="D106" s="4"/>
      <c r="E106" s="5"/>
    </row>
    <row r="107" spans="1:5" x14ac:dyDescent="0.2">
      <c r="A107" s="1"/>
      <c r="B107" s="1"/>
      <c r="C107" s="2"/>
      <c r="D107" s="4"/>
      <c r="E107" s="5"/>
    </row>
    <row r="108" spans="1:5" x14ac:dyDescent="0.2">
      <c r="A108" s="1"/>
      <c r="B108" s="1"/>
      <c r="C108" s="2"/>
      <c r="D108" s="4"/>
      <c r="E108" s="5"/>
    </row>
    <row r="109" spans="1:5" x14ac:dyDescent="0.2">
      <c r="A109" s="1"/>
      <c r="B109" s="1"/>
      <c r="C109" s="2"/>
      <c r="D109" s="4"/>
      <c r="E109" s="6"/>
    </row>
    <row r="110" spans="1:5" x14ac:dyDescent="0.2">
      <c r="A110" s="1"/>
      <c r="B110" s="1"/>
      <c r="C110" s="2"/>
      <c r="D110" s="4"/>
      <c r="E110" s="6"/>
    </row>
    <row r="111" spans="1:5" x14ac:dyDescent="0.2">
      <c r="A111" s="1"/>
      <c r="B111" s="1"/>
      <c r="C111" s="2"/>
      <c r="D111" s="4"/>
      <c r="E111" s="6"/>
    </row>
    <row r="112" spans="1:5" x14ac:dyDescent="0.2">
      <c r="A112" s="1"/>
      <c r="B112" s="1"/>
      <c r="C112" s="2"/>
      <c r="D112" s="4"/>
      <c r="E112" s="5"/>
    </row>
    <row r="113" spans="1:5" x14ac:dyDescent="0.2">
      <c r="A113" s="1"/>
      <c r="B113" s="1"/>
      <c r="C113" s="2"/>
      <c r="D113" s="4"/>
      <c r="E113" s="5"/>
    </row>
    <row r="114" spans="1:5" x14ac:dyDescent="0.2">
      <c r="A114" s="1"/>
      <c r="B114" s="1"/>
      <c r="C114" s="2"/>
      <c r="D114" s="4"/>
      <c r="E114" s="5"/>
    </row>
    <row r="115" spans="1:5" x14ac:dyDescent="0.2">
      <c r="A115" s="1"/>
      <c r="B115" s="1"/>
      <c r="C115" s="2"/>
      <c r="D115" s="4"/>
      <c r="E115" s="6"/>
    </row>
    <row r="116" spans="1:5" x14ac:dyDescent="0.2">
      <c r="A116" s="1"/>
      <c r="B116" s="1"/>
      <c r="C116" s="2"/>
      <c r="D116" s="4"/>
      <c r="E116" s="6"/>
    </row>
    <row r="117" spans="1:5" x14ac:dyDescent="0.2">
      <c r="A117" s="1"/>
      <c r="B117" s="1"/>
      <c r="C117" s="2"/>
      <c r="D117" s="4"/>
      <c r="E117" s="6"/>
    </row>
    <row r="118" spans="1:5" x14ac:dyDescent="0.2">
      <c r="A118" s="1"/>
      <c r="B118" s="1"/>
      <c r="C118" s="2"/>
      <c r="D118" s="4"/>
      <c r="E118" s="6"/>
    </row>
    <row r="119" spans="1:5" x14ac:dyDescent="0.2">
      <c r="A119" s="1"/>
      <c r="B119" s="1"/>
      <c r="C119" s="2"/>
      <c r="D119" s="4"/>
      <c r="E119" s="6"/>
    </row>
    <row r="120" spans="1:5" x14ac:dyDescent="0.2">
      <c r="A120" s="1"/>
      <c r="B120" s="1"/>
      <c r="C120" s="2"/>
      <c r="D120" s="4"/>
      <c r="E120" s="6"/>
    </row>
    <row r="121" spans="1:5" x14ac:dyDescent="0.2">
      <c r="A121" s="1"/>
      <c r="B121" s="1"/>
      <c r="C121" s="2"/>
      <c r="D121" s="4"/>
      <c r="E121" s="5"/>
    </row>
    <row r="122" spans="1:5" x14ac:dyDescent="0.2">
      <c r="A122" s="1"/>
      <c r="B122" s="1"/>
      <c r="C122" s="2"/>
      <c r="D122" s="4"/>
      <c r="E122" s="5"/>
    </row>
    <row r="123" spans="1:5" x14ac:dyDescent="0.2">
      <c r="A123" s="1"/>
      <c r="B123" s="1"/>
      <c r="C123" s="2"/>
      <c r="D123" s="4"/>
      <c r="E123" s="5"/>
    </row>
    <row r="124" spans="1:5" x14ac:dyDescent="0.2">
      <c r="A124" s="1"/>
      <c r="B124" s="1"/>
      <c r="C124" s="2"/>
      <c r="D124" s="4"/>
      <c r="E124" s="6"/>
    </row>
    <row r="125" spans="1:5" x14ac:dyDescent="0.2">
      <c r="A125" s="1"/>
      <c r="B125" s="1"/>
      <c r="C125" s="2"/>
      <c r="D125" s="4"/>
      <c r="E125" s="6"/>
    </row>
    <row r="126" spans="1:5" x14ac:dyDescent="0.2">
      <c r="A126" s="1"/>
      <c r="B126" s="1"/>
      <c r="C126" s="2"/>
      <c r="D126" s="4"/>
      <c r="E126" s="6"/>
    </row>
    <row r="127" spans="1:5" x14ac:dyDescent="0.2">
      <c r="A127" s="1"/>
      <c r="B127" s="1"/>
      <c r="C127" s="2"/>
      <c r="D127" s="4"/>
      <c r="E127" s="5"/>
    </row>
    <row r="128" spans="1:5" x14ac:dyDescent="0.2">
      <c r="A128" s="1"/>
      <c r="B128" s="1"/>
      <c r="C128" s="2"/>
      <c r="D128" s="4"/>
      <c r="E128" s="5"/>
    </row>
    <row r="129" spans="1:5" x14ac:dyDescent="0.2">
      <c r="A129" s="1"/>
      <c r="B129" s="1"/>
      <c r="C129" s="2"/>
      <c r="D129" s="4"/>
      <c r="E129" s="5"/>
    </row>
  </sheetData>
  <sortState xmlns:xlrd2="http://schemas.microsoft.com/office/spreadsheetml/2017/richdata2" ref="A11:H64">
    <sortCondition ref="A4:A64"/>
  </sortState>
  <mergeCells count="3">
    <mergeCell ref="E5:E64"/>
    <mergeCell ref="F5:F64"/>
    <mergeCell ref="D70:D89"/>
  </mergeCells>
  <phoneticPr fontId="4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834B2-8564-C341-B9E0-79D864A51398}">
  <dimension ref="A1:R27"/>
  <sheetViews>
    <sheetView workbookViewId="0"/>
  </sheetViews>
  <sheetFormatPr baseColWidth="10" defaultRowHeight="16" x14ac:dyDescent="0.2"/>
  <sheetData>
    <row r="1" spans="1:18" ht="19" x14ac:dyDescent="0.25">
      <c r="A1" s="13" t="s">
        <v>202</v>
      </c>
    </row>
    <row r="3" spans="1:18" x14ac:dyDescent="0.2">
      <c r="A3" s="8" t="s">
        <v>0</v>
      </c>
      <c r="B3" s="8" t="s">
        <v>103</v>
      </c>
      <c r="C3" s="8" t="s">
        <v>88</v>
      </c>
      <c r="D3" s="10" t="s">
        <v>89</v>
      </c>
      <c r="E3" s="10" t="s">
        <v>90</v>
      </c>
      <c r="F3" s="10" t="s">
        <v>91</v>
      </c>
      <c r="G3" s="10" t="s">
        <v>92</v>
      </c>
      <c r="H3" s="10" t="s">
        <v>93</v>
      </c>
      <c r="I3" s="10" t="s">
        <v>94</v>
      </c>
      <c r="J3" s="10" t="s">
        <v>95</v>
      </c>
      <c r="K3" s="10" t="s">
        <v>96</v>
      </c>
      <c r="L3" s="11" t="s">
        <v>97</v>
      </c>
      <c r="M3" s="10" t="s">
        <v>98</v>
      </c>
      <c r="N3" s="10" t="s">
        <v>99</v>
      </c>
      <c r="O3" s="10" t="s">
        <v>100</v>
      </c>
      <c r="P3" s="10" t="s">
        <v>101</v>
      </c>
      <c r="Q3" s="10" t="s">
        <v>133</v>
      </c>
    </row>
    <row r="4" spans="1:18" x14ac:dyDescent="0.2">
      <c r="A4" s="7" t="s">
        <v>7</v>
      </c>
      <c r="B4" s="7" t="s">
        <v>2</v>
      </c>
      <c r="C4" s="7" t="s">
        <v>102</v>
      </c>
      <c r="D4" s="9">
        <v>11.6244</v>
      </c>
      <c r="E4" s="9">
        <v>3.5874999999999999</v>
      </c>
      <c r="F4" s="9">
        <v>0</v>
      </c>
      <c r="G4" s="9">
        <v>15.144500000000001</v>
      </c>
      <c r="H4" s="9">
        <v>0.93359999999999999</v>
      </c>
      <c r="I4" s="9">
        <v>0</v>
      </c>
      <c r="J4" s="9">
        <v>0.61450000000000005</v>
      </c>
      <c r="K4" s="9">
        <v>1.2787999999999999</v>
      </c>
      <c r="L4" s="9">
        <v>1.0773999999999999</v>
      </c>
      <c r="M4" s="9">
        <v>3.73</v>
      </c>
      <c r="N4" s="9">
        <v>3.3542999999999998</v>
      </c>
      <c r="O4" s="9">
        <v>1.2312000000000001</v>
      </c>
      <c r="P4" s="9">
        <v>3.1898</v>
      </c>
      <c r="Q4" s="23">
        <f>AVERAGE(D4:P4)</f>
        <v>3.5204615384615376</v>
      </c>
      <c r="R4" s="23"/>
    </row>
    <row r="5" spans="1:18" x14ac:dyDescent="0.2">
      <c r="A5" s="7" t="s">
        <v>7</v>
      </c>
      <c r="B5" s="7" t="s">
        <v>2</v>
      </c>
      <c r="C5" s="7" t="s">
        <v>201</v>
      </c>
      <c r="D5" s="9">
        <v>419.16250000000002</v>
      </c>
      <c r="E5" s="9">
        <v>176.57259999999999</v>
      </c>
      <c r="F5" s="9">
        <v>18.7577</v>
      </c>
      <c r="G5" s="9">
        <v>338.88799999999998</v>
      </c>
      <c r="H5" s="9">
        <v>166.8604</v>
      </c>
      <c r="I5" s="9">
        <v>125.4234</v>
      </c>
      <c r="J5" s="9">
        <v>57.293999999999997</v>
      </c>
      <c r="K5" s="9">
        <v>176.22649999999999</v>
      </c>
      <c r="L5" s="9">
        <v>103.55929999999999</v>
      </c>
      <c r="M5" s="9">
        <v>195.63560000000001</v>
      </c>
      <c r="N5" s="9">
        <v>35.143099999999997</v>
      </c>
      <c r="O5" s="9">
        <v>129.10130000000001</v>
      </c>
      <c r="P5" s="9">
        <v>137.1722</v>
      </c>
      <c r="Q5" s="23">
        <f t="shared" ref="Q5:Q27" si="0">AVERAGE(D5:P5)</f>
        <v>159.98435384615385</v>
      </c>
      <c r="R5" s="23"/>
    </row>
    <row r="6" spans="1:18" x14ac:dyDescent="0.2">
      <c r="A6" s="7" t="s">
        <v>7</v>
      </c>
      <c r="B6" s="7" t="s">
        <v>2</v>
      </c>
      <c r="C6" s="7" t="s">
        <v>200</v>
      </c>
      <c r="D6" s="9">
        <v>25.382000000000001</v>
      </c>
      <c r="E6" s="9">
        <v>21.901900000000001</v>
      </c>
      <c r="F6" s="9">
        <v>5.6611000000000002</v>
      </c>
      <c r="G6" s="9">
        <v>20.466200000000001</v>
      </c>
      <c r="H6" s="9">
        <v>16.673200000000001</v>
      </c>
      <c r="I6" s="9">
        <v>7.3404999999999996</v>
      </c>
      <c r="J6" s="9">
        <v>5.1219999999999999</v>
      </c>
      <c r="K6" s="9">
        <v>20.639299999999999</v>
      </c>
      <c r="L6" s="9">
        <v>26.8627</v>
      </c>
      <c r="M6" s="9">
        <v>15.7582</v>
      </c>
      <c r="N6" s="9">
        <v>27.455100000000002</v>
      </c>
      <c r="O6" s="9">
        <v>14.552300000000001</v>
      </c>
      <c r="P6" s="9">
        <v>30.392299999999999</v>
      </c>
      <c r="Q6" s="23">
        <f t="shared" si="0"/>
        <v>18.323600000000003</v>
      </c>
      <c r="R6" s="23"/>
    </row>
    <row r="7" spans="1:18" x14ac:dyDescent="0.2">
      <c r="A7" s="7" t="s">
        <v>7</v>
      </c>
      <c r="B7" s="7" t="s">
        <v>2</v>
      </c>
      <c r="C7" s="7" t="s">
        <v>199</v>
      </c>
      <c r="D7" s="9">
        <v>20.3675</v>
      </c>
      <c r="E7" s="9">
        <v>17.2576</v>
      </c>
      <c r="F7" s="9">
        <v>4.3529</v>
      </c>
      <c r="G7" s="9">
        <v>20.267099999999999</v>
      </c>
      <c r="H7" s="9">
        <v>5.9443999999999999</v>
      </c>
      <c r="I7" s="9">
        <v>1.1794</v>
      </c>
      <c r="J7" s="9">
        <v>3.2770999999999999</v>
      </c>
      <c r="K7" s="9">
        <v>3.0510000000000002</v>
      </c>
      <c r="L7" s="9">
        <v>18.943200000000001</v>
      </c>
      <c r="M7" s="9">
        <v>4.3746</v>
      </c>
      <c r="N7" s="9">
        <v>15.102399999999999</v>
      </c>
      <c r="O7" s="9">
        <v>14.288</v>
      </c>
      <c r="P7" s="9">
        <v>3.6564999999999999</v>
      </c>
      <c r="Q7" s="23">
        <f t="shared" si="0"/>
        <v>10.158592307692308</v>
      </c>
      <c r="R7" s="23"/>
    </row>
    <row r="8" spans="1:18" x14ac:dyDescent="0.2">
      <c r="A8" s="7" t="s">
        <v>5</v>
      </c>
      <c r="B8" s="7" t="s">
        <v>2</v>
      </c>
      <c r="C8" s="7" t="s">
        <v>102</v>
      </c>
      <c r="D8" s="9">
        <v>1.6094999999999999</v>
      </c>
      <c r="E8" s="9">
        <v>3.8233999999999999</v>
      </c>
      <c r="F8" s="9">
        <v>0</v>
      </c>
      <c r="G8" s="9">
        <v>0</v>
      </c>
      <c r="H8" s="9">
        <v>0.94289999999999996</v>
      </c>
      <c r="I8" s="9">
        <v>4.6986999999999997</v>
      </c>
      <c r="J8" s="9">
        <v>1.1017999999999999</v>
      </c>
      <c r="K8" s="9">
        <v>5.3414000000000001</v>
      </c>
      <c r="L8" s="9">
        <v>18.9466</v>
      </c>
      <c r="M8" s="9">
        <v>5.234</v>
      </c>
      <c r="N8" s="9">
        <v>5.2744</v>
      </c>
      <c r="O8" s="9">
        <v>8.3262</v>
      </c>
      <c r="P8" s="9">
        <v>2.1154999999999999</v>
      </c>
      <c r="Q8" s="23">
        <f t="shared" si="0"/>
        <v>4.4164923076923079</v>
      </c>
      <c r="R8" s="23"/>
    </row>
    <row r="9" spans="1:18" x14ac:dyDescent="0.2">
      <c r="A9" s="7" t="s">
        <v>5</v>
      </c>
      <c r="B9" s="7" t="s">
        <v>2</v>
      </c>
      <c r="C9" s="7" t="s">
        <v>201</v>
      </c>
      <c r="D9" s="9">
        <v>160.87479999999999</v>
      </c>
      <c r="E9" s="9">
        <v>109.58759999999999</v>
      </c>
      <c r="F9" s="9">
        <v>11.104900000000001</v>
      </c>
      <c r="G9" s="9">
        <v>188.84710000000001</v>
      </c>
      <c r="H9" s="9">
        <v>86.974100000000007</v>
      </c>
      <c r="I9" s="9">
        <v>90.813100000000006</v>
      </c>
      <c r="J9" s="9">
        <v>47.676900000000003</v>
      </c>
      <c r="K9" s="9">
        <v>111.8339</v>
      </c>
      <c r="L9" s="9">
        <v>92.474199999999996</v>
      </c>
      <c r="M9" s="9">
        <v>104.1387</v>
      </c>
      <c r="N9" s="9">
        <v>104.5487</v>
      </c>
      <c r="O9" s="9">
        <v>99.746600000000001</v>
      </c>
      <c r="P9" s="9">
        <v>106.9781</v>
      </c>
      <c r="Q9" s="23">
        <f t="shared" si="0"/>
        <v>101.1999</v>
      </c>
      <c r="R9" s="23"/>
    </row>
    <row r="10" spans="1:18" x14ac:dyDescent="0.2">
      <c r="A10" s="7" t="s">
        <v>5</v>
      </c>
      <c r="B10" s="7" t="s">
        <v>2</v>
      </c>
      <c r="C10" s="7" t="s">
        <v>200</v>
      </c>
      <c r="D10" s="9">
        <v>28.0517</v>
      </c>
      <c r="E10" s="9">
        <v>42.128</v>
      </c>
      <c r="F10" s="9">
        <v>4.2599</v>
      </c>
      <c r="G10" s="9">
        <v>48.146500000000003</v>
      </c>
      <c r="H10" s="9">
        <v>17.159500000000001</v>
      </c>
      <c r="I10" s="9">
        <v>21.118400000000001</v>
      </c>
      <c r="J10" s="9">
        <v>9.6312999999999995</v>
      </c>
      <c r="K10" s="9">
        <v>62.237000000000002</v>
      </c>
      <c r="L10" s="9">
        <v>53.175899999999999</v>
      </c>
      <c r="M10" s="9">
        <v>25.933700000000002</v>
      </c>
      <c r="N10" s="9">
        <v>16.946400000000001</v>
      </c>
      <c r="O10" s="9">
        <v>44.017299999999999</v>
      </c>
      <c r="P10" s="9">
        <v>40.615900000000003</v>
      </c>
      <c r="Q10" s="23">
        <f t="shared" si="0"/>
        <v>31.801653846153844</v>
      </c>
      <c r="R10" s="23"/>
    </row>
    <row r="11" spans="1:18" x14ac:dyDescent="0.2">
      <c r="A11" s="7" t="s">
        <v>5</v>
      </c>
      <c r="B11" s="7" t="s">
        <v>2</v>
      </c>
      <c r="C11" s="7" t="s">
        <v>199</v>
      </c>
      <c r="D11" s="9">
        <v>14.0936</v>
      </c>
      <c r="E11" s="9">
        <v>27.520900000000001</v>
      </c>
      <c r="F11" s="9">
        <v>9.4655000000000005</v>
      </c>
      <c r="G11" s="9">
        <v>37.858800000000002</v>
      </c>
      <c r="H11" s="9">
        <v>23.485199999999999</v>
      </c>
      <c r="I11" s="9">
        <v>10.660399999999999</v>
      </c>
      <c r="J11" s="9">
        <v>4.9584000000000001</v>
      </c>
      <c r="K11" s="9">
        <v>26.766400000000001</v>
      </c>
      <c r="L11" s="9">
        <v>14.9527</v>
      </c>
      <c r="M11" s="9">
        <v>7.8491</v>
      </c>
      <c r="N11" s="9">
        <v>16.318899999999999</v>
      </c>
      <c r="O11" s="9">
        <v>19.989899999999999</v>
      </c>
      <c r="P11" s="9">
        <v>4.5998999999999999</v>
      </c>
      <c r="Q11" s="23">
        <f t="shared" si="0"/>
        <v>16.809207692307691</v>
      </c>
      <c r="R11" s="23"/>
    </row>
    <row r="12" spans="1:18" x14ac:dyDescent="0.2">
      <c r="A12" s="7" t="s">
        <v>7</v>
      </c>
      <c r="B12" s="7" t="s">
        <v>3</v>
      </c>
      <c r="C12" s="7" t="s">
        <v>102</v>
      </c>
      <c r="D12" s="9">
        <v>0</v>
      </c>
      <c r="E12" s="9">
        <v>0.15609999999999999</v>
      </c>
      <c r="F12" s="9">
        <v>5.9799999999999999E-2</v>
      </c>
      <c r="G12" s="9">
        <v>1.3299999999999999E-2</v>
      </c>
      <c r="H12" s="9">
        <v>1E-3</v>
      </c>
      <c r="I12" s="9">
        <v>1.4E-3</v>
      </c>
      <c r="J12" s="9">
        <v>2.63E-2</v>
      </c>
      <c r="K12" s="9">
        <v>1.24E-2</v>
      </c>
      <c r="L12" s="9">
        <v>8.3999999999999995E-3</v>
      </c>
      <c r="M12" s="9">
        <v>1.9900000000000001E-2</v>
      </c>
      <c r="N12" s="9">
        <v>6.6600000000000006E-2</v>
      </c>
      <c r="O12" s="9">
        <v>4.4999999999999998E-2</v>
      </c>
      <c r="P12" s="9">
        <v>0.1028</v>
      </c>
      <c r="Q12" s="23">
        <f t="shared" si="0"/>
        <v>3.9461538461538472E-2</v>
      </c>
      <c r="R12" s="23"/>
    </row>
    <row r="13" spans="1:18" x14ac:dyDescent="0.2">
      <c r="A13" s="7" t="s">
        <v>7</v>
      </c>
      <c r="B13" s="7" t="s">
        <v>3</v>
      </c>
      <c r="C13" s="7" t="s">
        <v>201</v>
      </c>
      <c r="D13" s="9">
        <v>0.36969999999999997</v>
      </c>
      <c r="E13" s="9">
        <v>0.74039999999999995</v>
      </c>
      <c r="F13" s="9">
        <v>0.76770000000000005</v>
      </c>
      <c r="G13" s="9">
        <v>0.20330000000000001</v>
      </c>
      <c r="H13" s="9">
        <v>0.2455</v>
      </c>
      <c r="I13" s="9">
        <v>0.1192</v>
      </c>
      <c r="J13" s="9">
        <v>0.92179999999999995</v>
      </c>
      <c r="K13" s="9">
        <v>0.26479999999999998</v>
      </c>
      <c r="L13" s="9">
        <v>0.2099</v>
      </c>
      <c r="M13" s="9">
        <v>2.3256000000000001</v>
      </c>
      <c r="N13" s="9">
        <v>0.34350000000000003</v>
      </c>
      <c r="O13" s="9">
        <v>0.18540000000000001</v>
      </c>
      <c r="P13" s="9">
        <v>0.31159999999999999</v>
      </c>
      <c r="Q13" s="23">
        <f t="shared" si="0"/>
        <v>0.53910769230769229</v>
      </c>
      <c r="R13" s="23"/>
    </row>
    <row r="14" spans="1:18" x14ac:dyDescent="0.2">
      <c r="A14" s="7" t="s">
        <v>7</v>
      </c>
      <c r="B14" s="7" t="s">
        <v>3</v>
      </c>
      <c r="C14" s="7" t="s">
        <v>200</v>
      </c>
      <c r="D14" s="9">
        <v>4.5499999999999999E-2</v>
      </c>
      <c r="E14" s="9">
        <v>0.36749999999999999</v>
      </c>
      <c r="F14" s="9">
        <v>4.36E-2</v>
      </c>
      <c r="G14" s="9">
        <v>0.22700000000000001</v>
      </c>
      <c r="H14" s="9">
        <v>3.7000000000000002E-3</v>
      </c>
      <c r="I14" s="9">
        <v>4.1999999999999997E-3</v>
      </c>
      <c r="J14" s="9">
        <v>3.2899999999999999E-2</v>
      </c>
      <c r="K14" s="9">
        <v>1.6E-2</v>
      </c>
      <c r="L14" s="9">
        <v>1.9300000000000001E-2</v>
      </c>
      <c r="M14" s="9">
        <v>2.7099999999999999E-2</v>
      </c>
      <c r="N14" s="9">
        <v>4.0599999999999997E-2</v>
      </c>
      <c r="O14" s="9">
        <v>2.07E-2</v>
      </c>
      <c r="P14" s="9">
        <v>0.21029999999999999</v>
      </c>
      <c r="Q14" s="23">
        <f t="shared" si="0"/>
        <v>8.1415384615384612E-2</v>
      </c>
      <c r="R14" s="23"/>
    </row>
    <row r="15" spans="1:18" x14ac:dyDescent="0.2">
      <c r="A15" s="7" t="s">
        <v>7</v>
      </c>
      <c r="B15" s="7" t="s">
        <v>3</v>
      </c>
      <c r="C15" s="7" t="s">
        <v>199</v>
      </c>
      <c r="D15" s="9">
        <v>0.03</v>
      </c>
      <c r="E15" s="9">
        <v>6.6799999999999998E-2</v>
      </c>
      <c r="F15" s="9">
        <v>2.9000000000000001E-2</v>
      </c>
      <c r="G15" s="9">
        <v>2.53E-2</v>
      </c>
      <c r="H15" s="9">
        <v>2.3E-3</v>
      </c>
      <c r="I15" s="9">
        <v>2.8999999999999998E-3</v>
      </c>
      <c r="J15" s="9">
        <v>6.7000000000000002E-3</v>
      </c>
      <c r="K15" s="9">
        <v>1.32E-2</v>
      </c>
      <c r="L15" s="9">
        <v>1.2200000000000001E-2</v>
      </c>
      <c r="M15" s="9">
        <v>1.8599999999999998E-2</v>
      </c>
      <c r="N15" s="9">
        <v>1.7999999999999999E-2</v>
      </c>
      <c r="O15" s="9">
        <v>2.3199999999999998E-2</v>
      </c>
      <c r="P15" s="9">
        <v>0.12139999999999999</v>
      </c>
      <c r="Q15" s="23">
        <f t="shared" si="0"/>
        <v>2.8430769230769228E-2</v>
      </c>
      <c r="R15" s="23"/>
    </row>
    <row r="16" spans="1:18" x14ac:dyDescent="0.2">
      <c r="A16" s="7" t="s">
        <v>5</v>
      </c>
      <c r="B16" s="7" t="s">
        <v>3</v>
      </c>
      <c r="C16" s="7" t="s">
        <v>102</v>
      </c>
      <c r="D16" s="9">
        <v>0</v>
      </c>
      <c r="E16" s="9">
        <v>4.7100000000000003E-2</v>
      </c>
      <c r="F16" s="9">
        <v>4.6800000000000001E-2</v>
      </c>
      <c r="G16" s="9">
        <v>9.4000000000000004E-3</v>
      </c>
      <c r="H16" s="9">
        <v>5.9999999999999995E-4</v>
      </c>
      <c r="I16" s="9">
        <v>6.9999999999999999E-4</v>
      </c>
      <c r="J16" s="9">
        <v>4.4699999999999997E-2</v>
      </c>
      <c r="K16" s="9">
        <v>1.5599999999999999E-2</v>
      </c>
      <c r="L16" s="9">
        <v>3.6700000000000003E-2</v>
      </c>
      <c r="M16" s="9">
        <v>5.2699999999999997E-2</v>
      </c>
      <c r="N16" s="9">
        <v>4.0300000000000002E-2</v>
      </c>
      <c r="O16" s="9">
        <v>7.6899999999999996E-2</v>
      </c>
      <c r="P16" s="9">
        <v>4.0899999999999999E-2</v>
      </c>
      <c r="Q16" s="23">
        <f t="shared" si="0"/>
        <v>3.1723076923076923E-2</v>
      </c>
      <c r="R16" s="23"/>
    </row>
    <row r="17" spans="1:18" x14ac:dyDescent="0.2">
      <c r="A17" s="7" t="s">
        <v>5</v>
      </c>
      <c r="B17" s="7" t="s">
        <v>3</v>
      </c>
      <c r="C17" s="7" t="s">
        <v>201</v>
      </c>
      <c r="D17" s="9">
        <v>3.5792000000000002</v>
      </c>
      <c r="E17" s="9">
        <v>3.1034999999999999</v>
      </c>
      <c r="F17" s="9">
        <v>4.7435</v>
      </c>
      <c r="G17" s="9">
        <v>2.7538</v>
      </c>
      <c r="H17" s="9">
        <v>0.26700000000000002</v>
      </c>
      <c r="I17" s="9">
        <v>0.315</v>
      </c>
      <c r="J17" s="9">
        <v>4.6063999999999998</v>
      </c>
      <c r="K17" s="9">
        <v>6.2039999999999997</v>
      </c>
      <c r="L17" s="9">
        <v>5.2016</v>
      </c>
      <c r="M17" s="9">
        <v>6.9861000000000004</v>
      </c>
      <c r="N17" s="9">
        <v>0.92049999999999998</v>
      </c>
      <c r="O17" s="9">
        <v>4.8212000000000002</v>
      </c>
      <c r="P17" s="9">
        <v>1.819</v>
      </c>
      <c r="Q17" s="23">
        <f t="shared" si="0"/>
        <v>3.4862153846153845</v>
      </c>
      <c r="R17" s="23"/>
    </row>
    <row r="18" spans="1:18" x14ac:dyDescent="0.2">
      <c r="A18" s="7" t="s">
        <v>5</v>
      </c>
      <c r="B18" s="7" t="s">
        <v>3</v>
      </c>
      <c r="C18" s="7" t="s">
        <v>200</v>
      </c>
      <c r="D18" s="9">
        <v>0.28079999999999999</v>
      </c>
      <c r="E18" s="9">
        <v>0.58709999999999996</v>
      </c>
      <c r="F18" s="9">
        <v>1.3479000000000001</v>
      </c>
      <c r="G18" s="9">
        <v>0.28120000000000001</v>
      </c>
      <c r="H18" s="9">
        <v>4.6699999999999998E-2</v>
      </c>
      <c r="I18" s="9">
        <v>3.3799999999999997E-2</v>
      </c>
      <c r="J18" s="9">
        <v>0.13389999999999999</v>
      </c>
      <c r="K18" s="9">
        <v>1.4589000000000001</v>
      </c>
      <c r="L18" s="9">
        <v>4.7899999999999998E-2</v>
      </c>
      <c r="M18" s="9">
        <v>0.20019999999999999</v>
      </c>
      <c r="N18" s="9">
        <v>0.1757</v>
      </c>
      <c r="O18" s="9">
        <v>0.30740000000000001</v>
      </c>
      <c r="P18" s="9">
        <v>0.25040000000000001</v>
      </c>
      <c r="Q18" s="23">
        <f t="shared" si="0"/>
        <v>0.39630000000000004</v>
      </c>
      <c r="R18" s="23"/>
    </row>
    <row r="19" spans="1:18" x14ac:dyDescent="0.2">
      <c r="A19" s="7" t="s">
        <v>5</v>
      </c>
      <c r="B19" s="7" t="s">
        <v>3</v>
      </c>
      <c r="C19" s="7" t="s">
        <v>199</v>
      </c>
      <c r="D19" s="9">
        <v>2.8799999999999999E-2</v>
      </c>
      <c r="E19" s="9">
        <v>0.18</v>
      </c>
      <c r="F19" s="9">
        <v>0.37080000000000002</v>
      </c>
      <c r="G19" s="9">
        <v>0.2374</v>
      </c>
      <c r="H19" s="9">
        <v>1.17E-2</v>
      </c>
      <c r="I19" s="9">
        <v>7.6E-3</v>
      </c>
      <c r="J19" s="9">
        <v>0.33329999999999999</v>
      </c>
      <c r="K19" s="9">
        <v>4.9599999999999998E-2</v>
      </c>
      <c r="L19" s="9">
        <v>0.1303</v>
      </c>
      <c r="M19" s="9">
        <v>2.8299999999999999E-2</v>
      </c>
      <c r="N19" s="9">
        <v>7.2800000000000004E-2</v>
      </c>
      <c r="O19" s="9">
        <v>8.2699999999999996E-2</v>
      </c>
      <c r="P19" s="9">
        <v>7.0400000000000004E-2</v>
      </c>
      <c r="Q19" s="23">
        <f t="shared" si="0"/>
        <v>0.12336153846153847</v>
      </c>
      <c r="R19" s="23"/>
    </row>
    <row r="20" spans="1:18" x14ac:dyDescent="0.2">
      <c r="A20" s="7" t="s">
        <v>7</v>
      </c>
      <c r="B20" s="7" t="s">
        <v>4</v>
      </c>
      <c r="C20" s="7" t="s">
        <v>102</v>
      </c>
      <c r="D20" s="9">
        <v>0</v>
      </c>
      <c r="E20" s="9">
        <v>2.3099999999999999E-2</v>
      </c>
      <c r="F20" s="9">
        <v>0</v>
      </c>
      <c r="G20" s="9">
        <v>0</v>
      </c>
      <c r="H20" s="9">
        <v>2.0000000000000001E-4</v>
      </c>
      <c r="I20" s="9">
        <v>0</v>
      </c>
      <c r="J20" s="9">
        <v>9.4999999999999998E-3</v>
      </c>
      <c r="K20" s="9">
        <v>3.8E-3</v>
      </c>
      <c r="L20" s="9">
        <v>0</v>
      </c>
      <c r="M20" s="9">
        <v>0</v>
      </c>
      <c r="N20" s="9">
        <v>0</v>
      </c>
      <c r="O20" s="9">
        <v>0</v>
      </c>
      <c r="P20" s="9">
        <v>1.9300000000000001E-2</v>
      </c>
      <c r="Q20" s="23">
        <f t="shared" si="0"/>
        <v>4.2999999999999991E-3</v>
      </c>
      <c r="R20" s="23"/>
    </row>
    <row r="21" spans="1:18" x14ac:dyDescent="0.2">
      <c r="A21" s="7" t="s">
        <v>7</v>
      </c>
      <c r="B21" s="7" t="s">
        <v>4</v>
      </c>
      <c r="C21" s="7" t="s">
        <v>201</v>
      </c>
      <c r="D21" s="9">
        <v>0.14510000000000001</v>
      </c>
      <c r="E21" s="9">
        <v>0.1583</v>
      </c>
      <c r="F21" s="9">
        <v>6.3299999999999995E-2</v>
      </c>
      <c r="G21" s="9">
        <v>0</v>
      </c>
      <c r="H21" s="9">
        <v>1.03E-2</v>
      </c>
      <c r="I21" s="9">
        <v>0</v>
      </c>
      <c r="J21" s="9">
        <v>0</v>
      </c>
      <c r="K21" s="9">
        <v>0</v>
      </c>
      <c r="L21" s="9">
        <v>4.8300000000000003E-2</v>
      </c>
      <c r="M21" s="9">
        <v>2.18E-2</v>
      </c>
      <c r="N21" s="9">
        <v>0</v>
      </c>
      <c r="O21" s="9">
        <v>0</v>
      </c>
      <c r="P21" s="9">
        <v>1.8499999999999999E-2</v>
      </c>
      <c r="Q21" s="23">
        <f t="shared" si="0"/>
        <v>3.5815384615384617E-2</v>
      </c>
      <c r="R21" s="23"/>
    </row>
    <row r="22" spans="1:18" x14ac:dyDescent="0.2">
      <c r="A22" s="7" t="s">
        <v>7</v>
      </c>
      <c r="B22" s="7" t="s">
        <v>4</v>
      </c>
      <c r="C22" s="7" t="s">
        <v>200</v>
      </c>
      <c r="D22" s="9">
        <v>1.9199999999999998E-2</v>
      </c>
      <c r="E22" s="9">
        <v>5.5599999999999997E-2</v>
      </c>
      <c r="F22" s="9">
        <v>1.52E-2</v>
      </c>
      <c r="G22" s="9">
        <v>6.0000000000000001E-3</v>
      </c>
      <c r="H22" s="9">
        <v>1.8E-3</v>
      </c>
      <c r="I22" s="9">
        <v>0</v>
      </c>
      <c r="J22" s="9">
        <v>2.3199999999999998E-2</v>
      </c>
      <c r="K22" s="9">
        <v>9.7000000000000003E-3</v>
      </c>
      <c r="L22" s="9">
        <v>1.06E-2</v>
      </c>
      <c r="M22" s="9">
        <v>0</v>
      </c>
      <c r="N22" s="9">
        <v>0</v>
      </c>
      <c r="O22" s="9">
        <v>0</v>
      </c>
      <c r="P22" s="9">
        <v>3.3599999999999998E-2</v>
      </c>
      <c r="Q22" s="23">
        <f t="shared" si="0"/>
        <v>1.3453846153846151E-2</v>
      </c>
      <c r="R22" s="23"/>
    </row>
    <row r="23" spans="1:18" x14ac:dyDescent="0.2">
      <c r="A23" s="7" t="s">
        <v>7</v>
      </c>
      <c r="B23" s="7" t="s">
        <v>4</v>
      </c>
      <c r="C23" s="7" t="s">
        <v>199</v>
      </c>
      <c r="D23" s="9">
        <v>1.6400000000000001E-2</v>
      </c>
      <c r="E23" s="9">
        <v>1.41E-2</v>
      </c>
      <c r="F23" s="9">
        <v>1.35E-2</v>
      </c>
      <c r="G23" s="9">
        <v>0</v>
      </c>
      <c r="H23" s="9">
        <v>8.0000000000000004E-4</v>
      </c>
      <c r="I23" s="9">
        <v>0</v>
      </c>
      <c r="J23" s="9">
        <v>0</v>
      </c>
      <c r="K23" s="9">
        <v>8.8000000000000005E-3</v>
      </c>
      <c r="L23" s="9">
        <v>1.1900000000000001E-2</v>
      </c>
      <c r="M23" s="9">
        <v>0</v>
      </c>
      <c r="N23" s="9">
        <v>0</v>
      </c>
      <c r="O23" s="9">
        <v>1.6199999999999999E-2</v>
      </c>
      <c r="P23" s="9">
        <v>3.1300000000000001E-2</v>
      </c>
      <c r="Q23" s="23">
        <f t="shared" si="0"/>
        <v>8.6923076923076919E-3</v>
      </c>
      <c r="R23" s="23"/>
    </row>
    <row r="24" spans="1:18" x14ac:dyDescent="0.2">
      <c r="A24" s="7" t="s">
        <v>5</v>
      </c>
      <c r="B24" s="7" t="s">
        <v>4</v>
      </c>
      <c r="C24" s="7" t="s">
        <v>102</v>
      </c>
      <c r="D24" s="9">
        <v>0</v>
      </c>
      <c r="E24" s="9">
        <v>0</v>
      </c>
      <c r="F24" s="9">
        <v>1.15E-2</v>
      </c>
      <c r="G24" s="9">
        <v>0</v>
      </c>
      <c r="H24" s="9">
        <v>4.5999999999999999E-3</v>
      </c>
      <c r="I24" s="9">
        <v>0</v>
      </c>
      <c r="J24" s="9">
        <v>7.4000000000000003E-3</v>
      </c>
      <c r="K24" s="9">
        <v>6.0000000000000001E-3</v>
      </c>
      <c r="L24" s="9">
        <v>0</v>
      </c>
      <c r="M24" s="9">
        <v>0</v>
      </c>
      <c r="N24" s="9">
        <v>0</v>
      </c>
      <c r="O24" s="9">
        <v>0</v>
      </c>
      <c r="P24" s="9">
        <v>3.2500000000000001E-2</v>
      </c>
      <c r="Q24" s="23">
        <f t="shared" si="0"/>
        <v>4.7692307692307695E-3</v>
      </c>
      <c r="R24" s="23"/>
    </row>
    <row r="25" spans="1:18" x14ac:dyDescent="0.2">
      <c r="A25" s="7" t="s">
        <v>5</v>
      </c>
      <c r="B25" s="7" t="s">
        <v>4</v>
      </c>
      <c r="C25" s="7" t="s">
        <v>201</v>
      </c>
      <c r="D25" s="9">
        <v>0</v>
      </c>
      <c r="E25" s="9">
        <v>2.0500000000000001E-2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2.12E-2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23">
        <f t="shared" si="0"/>
        <v>3.2076923076923077E-3</v>
      </c>
      <c r="R25" s="23"/>
    </row>
    <row r="26" spans="1:18" x14ac:dyDescent="0.2">
      <c r="A26" s="7" t="s">
        <v>5</v>
      </c>
      <c r="B26" s="7" t="s">
        <v>4</v>
      </c>
      <c r="C26" s="7" t="s">
        <v>200</v>
      </c>
      <c r="D26" s="9">
        <v>2.0000000000000001E-4</v>
      </c>
      <c r="E26" s="9">
        <v>3.0499999999999999E-2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1.6500000000000001E-2</v>
      </c>
      <c r="L26" s="9">
        <v>0</v>
      </c>
      <c r="M26" s="9">
        <v>0</v>
      </c>
      <c r="N26" s="9">
        <v>0</v>
      </c>
      <c r="O26" s="9">
        <v>0</v>
      </c>
      <c r="P26" s="9">
        <v>3.6999999999999998E-2</v>
      </c>
      <c r="Q26" s="23">
        <f t="shared" si="0"/>
        <v>6.4769230769230763E-3</v>
      </c>
      <c r="R26" s="23"/>
    </row>
    <row r="27" spans="1:18" x14ac:dyDescent="0.2">
      <c r="A27" s="7" t="s">
        <v>5</v>
      </c>
      <c r="B27" s="7" t="s">
        <v>4</v>
      </c>
      <c r="C27" s="7" t="s">
        <v>199</v>
      </c>
      <c r="D27" s="9">
        <v>2.0000000000000001E-4</v>
      </c>
      <c r="E27" s="9">
        <v>0</v>
      </c>
      <c r="F27" s="9">
        <v>5.33E-2</v>
      </c>
      <c r="G27" s="9">
        <v>0</v>
      </c>
      <c r="H27" s="9">
        <v>0</v>
      </c>
      <c r="I27" s="9">
        <v>0</v>
      </c>
      <c r="J27" s="9">
        <v>2.47E-2</v>
      </c>
      <c r="K27" s="9">
        <v>4.5999999999999999E-3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23">
        <f t="shared" si="0"/>
        <v>6.3692307692307677E-3</v>
      </c>
      <c r="R27" s="23"/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7AAF8-06E8-FB40-8B9A-E7E29FAD361E}">
  <dimension ref="A1:AB29"/>
  <sheetViews>
    <sheetView workbookViewId="0"/>
  </sheetViews>
  <sheetFormatPr baseColWidth="10" defaultRowHeight="16" x14ac:dyDescent="0.2"/>
  <cols>
    <col min="1" max="1" width="22.5" customWidth="1"/>
    <col min="22" max="22" width="18" customWidth="1"/>
    <col min="23" max="23" width="20" customWidth="1"/>
  </cols>
  <sheetData>
    <row r="1" spans="1:28" ht="19" x14ac:dyDescent="0.25">
      <c r="A1" s="13" t="s">
        <v>172</v>
      </c>
    </row>
    <row r="2" spans="1:28" ht="19" x14ac:dyDescent="0.25">
      <c r="A2" s="13"/>
    </row>
    <row r="3" spans="1:28" x14ac:dyDescent="0.2">
      <c r="A3" s="12" t="s">
        <v>186</v>
      </c>
      <c r="B3" s="12" t="s">
        <v>162</v>
      </c>
      <c r="C3" s="16" t="s">
        <v>68</v>
      </c>
      <c r="D3" s="16" t="s">
        <v>69</v>
      </c>
      <c r="E3" s="16" t="s">
        <v>70</v>
      </c>
      <c r="F3" s="16" t="s">
        <v>71</v>
      </c>
      <c r="G3" s="16" t="s">
        <v>72</v>
      </c>
      <c r="H3" s="16" t="s">
        <v>73</v>
      </c>
      <c r="I3" s="16" t="s">
        <v>74</v>
      </c>
      <c r="J3" s="16" t="s">
        <v>75</v>
      </c>
      <c r="K3" s="16" t="s">
        <v>76</v>
      </c>
      <c r="L3" s="16" t="s">
        <v>77</v>
      </c>
      <c r="M3" s="16" t="s">
        <v>78</v>
      </c>
      <c r="N3" s="16" t="s">
        <v>79</v>
      </c>
      <c r="O3" s="16" t="s">
        <v>80</v>
      </c>
      <c r="P3" s="16" t="s">
        <v>81</v>
      </c>
      <c r="Q3" s="16" t="s">
        <v>82</v>
      </c>
      <c r="R3" s="16" t="s">
        <v>83</v>
      </c>
      <c r="S3" s="16" t="s">
        <v>84</v>
      </c>
      <c r="T3" s="16" t="s">
        <v>85</v>
      </c>
      <c r="U3" s="16" t="s">
        <v>86</v>
      </c>
      <c r="V3" s="16" t="s">
        <v>87</v>
      </c>
      <c r="W3" s="16" t="s">
        <v>132</v>
      </c>
      <c r="X3" s="16" t="s">
        <v>133</v>
      </c>
    </row>
    <row r="4" spans="1:28" x14ac:dyDescent="0.2">
      <c r="A4" s="29" t="s">
        <v>134</v>
      </c>
      <c r="B4" s="19" t="s">
        <v>135</v>
      </c>
      <c r="C4" s="19">
        <v>0.25560670000000002</v>
      </c>
      <c r="D4" s="19">
        <v>0.32103490000000001</v>
      </c>
      <c r="E4" s="19">
        <v>0.28130830000000001</v>
      </c>
      <c r="F4" s="20">
        <v>0.1676705</v>
      </c>
      <c r="G4" s="19">
        <v>0.33094055</v>
      </c>
      <c r="H4" s="19">
        <v>0.11822299999999999</v>
      </c>
      <c r="I4" s="19">
        <v>0.49184750999999999</v>
      </c>
      <c r="J4" s="19">
        <v>0.26371747000000001</v>
      </c>
      <c r="K4" s="19">
        <v>0.21429564000000001</v>
      </c>
      <c r="L4" s="19">
        <v>0.25901791699999999</v>
      </c>
      <c r="M4" s="19">
        <v>4.8224980000000001E-2</v>
      </c>
      <c r="N4" s="19">
        <v>0.13236440999999999</v>
      </c>
      <c r="O4" s="19">
        <v>0.24715365</v>
      </c>
      <c r="P4" s="19">
        <v>0.120647041</v>
      </c>
      <c r="Q4" s="19">
        <v>0.148559475</v>
      </c>
      <c r="R4" s="19">
        <v>0.19281703</v>
      </c>
      <c r="S4" s="19">
        <v>0.68400278999999997</v>
      </c>
      <c r="T4" s="19">
        <v>0.39025342000000002</v>
      </c>
      <c r="U4" s="19">
        <v>0.40358202700000001</v>
      </c>
      <c r="V4" s="19">
        <v>0.26934525999999998</v>
      </c>
      <c r="W4" s="19" t="str">
        <f>TEXT(MIN(C4:V4),"0.00000")&amp;" - "&amp;TEXT(MAX(C4:V4),"0.00000")</f>
        <v>0.04822 - 0.68400</v>
      </c>
      <c r="X4" s="19">
        <f>AVERAGE(C4:V4)</f>
        <v>0.26703062849999992</v>
      </c>
      <c r="Y4">
        <f t="shared" ref="Y4:Y19" si="0">AVERAGE(C4:G4)</f>
        <v>0.27131219000000006</v>
      </c>
      <c r="Z4">
        <f t="shared" ref="Z4:Z19" si="1">AVERAGE(H4:L4)</f>
        <v>0.2694203074</v>
      </c>
      <c r="AA4">
        <f t="shared" ref="AA4:AA19" si="2">AVERAGE(M4:Q4)</f>
        <v>0.13938991119999999</v>
      </c>
      <c r="AB4">
        <f t="shared" ref="AB4:AB19" si="3">AVERAGE(R4:V4)</f>
        <v>0.38800010539999996</v>
      </c>
    </row>
    <row r="5" spans="1:28" x14ac:dyDescent="0.2">
      <c r="A5" s="29"/>
      <c r="B5" s="19" t="s">
        <v>136</v>
      </c>
      <c r="C5" s="19">
        <v>0</v>
      </c>
      <c r="D5" s="19">
        <v>4.2196930000000001E-2</v>
      </c>
      <c r="E5" s="19">
        <v>1.388353E-2</v>
      </c>
      <c r="F5" s="20">
        <v>7.7086949999999992E-6</v>
      </c>
      <c r="G5" s="19">
        <v>1.449617E-3</v>
      </c>
      <c r="H5" s="19">
        <v>0</v>
      </c>
      <c r="I5" s="19">
        <v>0</v>
      </c>
      <c r="J5" s="19">
        <v>0.10420583999999999</v>
      </c>
      <c r="K5" s="19">
        <v>4.1517529999999997E-2</v>
      </c>
      <c r="L5" s="19">
        <v>2.2191289999999998E-3</v>
      </c>
      <c r="M5" s="19">
        <v>0</v>
      </c>
      <c r="N5" s="19">
        <v>0</v>
      </c>
      <c r="O5" s="19">
        <v>0</v>
      </c>
      <c r="P5" s="19">
        <v>0</v>
      </c>
      <c r="Q5" s="19">
        <v>0</v>
      </c>
      <c r="R5" s="19">
        <v>0</v>
      </c>
      <c r="S5" s="19">
        <v>0</v>
      </c>
      <c r="T5" s="19">
        <v>0</v>
      </c>
      <c r="U5" s="19">
        <v>0</v>
      </c>
      <c r="V5" s="19">
        <v>0</v>
      </c>
      <c r="W5" s="19" t="str">
        <f>TEXT(MIN(C5:V5),"0.00000")&amp;" - "&amp;TEXT(MAX(C5:V5),"0.00000")</f>
        <v>0.00000 - 0.10421</v>
      </c>
      <c r="X5" s="19">
        <f>AVERAGE(C5:V5)</f>
        <v>1.0274014234749999E-2</v>
      </c>
      <c r="Y5">
        <f t="shared" si="0"/>
        <v>1.1507557138999999E-2</v>
      </c>
      <c r="Z5">
        <f t="shared" si="1"/>
        <v>2.9588499799999994E-2</v>
      </c>
      <c r="AA5">
        <f t="shared" si="2"/>
        <v>0</v>
      </c>
      <c r="AB5">
        <f t="shared" si="3"/>
        <v>0</v>
      </c>
    </row>
    <row r="6" spans="1:28" x14ac:dyDescent="0.2">
      <c r="A6" s="29"/>
      <c r="B6" s="19" t="s">
        <v>137</v>
      </c>
      <c r="C6">
        <f>SUM(C4:C5)</f>
        <v>0.25560670000000002</v>
      </c>
      <c r="D6">
        <f t="shared" ref="D6:V6" si="4">SUM(D4:D5)</f>
        <v>0.36323183000000003</v>
      </c>
      <c r="E6">
        <f t="shared" si="4"/>
        <v>0.29519182999999999</v>
      </c>
      <c r="F6">
        <f t="shared" si="4"/>
        <v>0.167678208695</v>
      </c>
      <c r="G6">
        <f t="shared" si="4"/>
        <v>0.33239016700000001</v>
      </c>
      <c r="H6">
        <f t="shared" si="4"/>
        <v>0.11822299999999999</v>
      </c>
      <c r="I6">
        <f t="shared" si="4"/>
        <v>0.49184750999999999</v>
      </c>
      <c r="J6">
        <f t="shared" si="4"/>
        <v>0.36792331</v>
      </c>
      <c r="K6">
        <f t="shared" si="4"/>
        <v>0.25581317000000003</v>
      </c>
      <c r="L6">
        <f t="shared" si="4"/>
        <v>0.26123704599999997</v>
      </c>
      <c r="M6">
        <f t="shared" si="4"/>
        <v>4.8224980000000001E-2</v>
      </c>
      <c r="N6">
        <f t="shared" si="4"/>
        <v>0.13236440999999999</v>
      </c>
      <c r="O6">
        <f t="shared" si="4"/>
        <v>0.24715365</v>
      </c>
      <c r="P6">
        <f t="shared" si="4"/>
        <v>0.120647041</v>
      </c>
      <c r="Q6">
        <f t="shared" si="4"/>
        <v>0.148559475</v>
      </c>
      <c r="R6">
        <f t="shared" si="4"/>
        <v>0.19281703</v>
      </c>
      <c r="S6">
        <f t="shared" si="4"/>
        <v>0.68400278999999997</v>
      </c>
      <c r="T6">
        <f t="shared" si="4"/>
        <v>0.39025342000000002</v>
      </c>
      <c r="U6">
        <f t="shared" si="4"/>
        <v>0.40358202700000001</v>
      </c>
      <c r="V6">
        <f t="shared" si="4"/>
        <v>0.26934525999999998</v>
      </c>
      <c r="W6" s="19" t="str">
        <f>TEXT(MIN(C6:V6),"0.00000")&amp;" - "&amp;TEXT(MAX(C6:V6),"0.00000")</f>
        <v>0.04822 - 0.68400</v>
      </c>
      <c r="X6" s="19">
        <f>AVERAGE(C6:V6)</f>
        <v>0.27730464273474997</v>
      </c>
      <c r="Y6">
        <f t="shared" si="0"/>
        <v>0.28281974713900004</v>
      </c>
      <c r="Z6">
        <f t="shared" si="1"/>
        <v>0.2990088072</v>
      </c>
      <c r="AA6">
        <f t="shared" si="2"/>
        <v>0.13938991119999999</v>
      </c>
      <c r="AB6">
        <f t="shared" si="3"/>
        <v>0.38800010539999996</v>
      </c>
    </row>
    <row r="7" spans="1:28" x14ac:dyDescent="0.2">
      <c r="A7" s="29" t="s">
        <v>138</v>
      </c>
      <c r="B7" s="19" t="s">
        <v>139</v>
      </c>
      <c r="C7" s="19">
        <v>0.30625289999999999</v>
      </c>
      <c r="D7" s="19">
        <v>0.30514096000000002</v>
      </c>
      <c r="E7" s="19">
        <v>0.33406835000000001</v>
      </c>
      <c r="F7" s="20">
        <v>0.21285709999999999</v>
      </c>
      <c r="G7" s="19">
        <v>0.32074095600000002</v>
      </c>
      <c r="H7" s="19">
        <v>0.17736279999999999</v>
      </c>
      <c r="I7" s="19">
        <v>0.38178456</v>
      </c>
      <c r="J7" s="19">
        <v>0.25453706999999998</v>
      </c>
      <c r="K7" s="19">
        <v>0.17336826</v>
      </c>
      <c r="L7" s="19">
        <v>0.25180721900000003</v>
      </c>
      <c r="M7" s="19">
        <v>1.317549E-2</v>
      </c>
      <c r="N7" s="19">
        <v>1.433968E-2</v>
      </c>
      <c r="O7" s="19">
        <v>0</v>
      </c>
      <c r="P7" s="19">
        <v>1.8126735000000001E-2</v>
      </c>
      <c r="Q7" s="19">
        <v>2.4509190000000002E-3</v>
      </c>
      <c r="R7" s="19">
        <v>4.5297499999999999E-3</v>
      </c>
      <c r="S7" s="19">
        <v>0.10369296</v>
      </c>
      <c r="T7" s="19">
        <v>3.4502520000000002E-2</v>
      </c>
      <c r="U7" s="19">
        <v>9.1127550000000002E-3</v>
      </c>
      <c r="V7" s="19">
        <v>2.2342500000000001E-2</v>
      </c>
      <c r="W7" s="19" t="str">
        <f t="shared" ref="W7:W29" si="5">TEXT(MIN(C7:V7),"0.00000")&amp;" - "&amp;TEXT(MAX(C7:V7),"0.00000")</f>
        <v>0.00000 - 0.38178</v>
      </c>
      <c r="X7" s="19">
        <f t="shared" ref="X7:X29" si="6">AVERAGE(C7:V7)</f>
        <v>0.14700967420000005</v>
      </c>
      <c r="Y7">
        <f t="shared" si="0"/>
        <v>0.29581205320000004</v>
      </c>
      <c r="Z7">
        <f t="shared" si="1"/>
        <v>0.24777198179999999</v>
      </c>
      <c r="AA7">
        <f t="shared" si="2"/>
        <v>9.6185647999999999E-3</v>
      </c>
      <c r="AB7">
        <f t="shared" si="3"/>
        <v>3.4836096999999996E-2</v>
      </c>
    </row>
    <row r="8" spans="1:28" x14ac:dyDescent="0.2">
      <c r="A8" s="29"/>
      <c r="B8" s="19" t="s">
        <v>140</v>
      </c>
      <c r="C8" s="19">
        <v>3.6958560999999999</v>
      </c>
      <c r="D8" s="19">
        <v>3.3807846000000001</v>
      </c>
      <c r="E8" s="19">
        <v>3.6169056199999998</v>
      </c>
      <c r="F8" s="20">
        <v>1.493922</v>
      </c>
      <c r="G8" s="19">
        <v>2.6218540859999999</v>
      </c>
      <c r="H8" s="19">
        <v>4.1339895999999996</v>
      </c>
      <c r="I8" s="19">
        <v>4.5361745500000001</v>
      </c>
      <c r="J8" s="19">
        <v>4.9740003899999996</v>
      </c>
      <c r="K8" s="19">
        <v>3.4088556400000001</v>
      </c>
      <c r="L8" s="19">
        <v>5.6704546069999999</v>
      </c>
      <c r="M8" s="19">
        <v>0.80113800999999996</v>
      </c>
      <c r="N8" s="19">
        <v>0.60887616</v>
      </c>
      <c r="O8" s="19">
        <v>0.60877102999999999</v>
      </c>
      <c r="P8" s="19">
        <v>0.79491330400000004</v>
      </c>
      <c r="Q8" s="19">
        <v>0.61465362899999998</v>
      </c>
      <c r="R8" s="19">
        <v>2.1468132299999998</v>
      </c>
      <c r="S8" s="19">
        <v>2.6207093399999999</v>
      </c>
      <c r="T8" s="19">
        <v>2.1929217599999999</v>
      </c>
      <c r="U8" s="19">
        <v>3.6142698759999998</v>
      </c>
      <c r="V8" s="19">
        <v>1.28467401</v>
      </c>
      <c r="W8" s="19" t="str">
        <f t="shared" si="5"/>
        <v>0.60877 - 5.67045</v>
      </c>
      <c r="X8" s="19">
        <f t="shared" si="6"/>
        <v>2.6410268770999998</v>
      </c>
      <c r="Y8">
        <f t="shared" si="0"/>
        <v>2.9618644812000001</v>
      </c>
      <c r="Z8">
        <f t="shared" si="1"/>
        <v>4.5446949573999991</v>
      </c>
      <c r="AA8">
        <f t="shared" si="2"/>
        <v>0.68567042659999999</v>
      </c>
      <c r="AB8">
        <f t="shared" si="3"/>
        <v>2.3718776431999999</v>
      </c>
    </row>
    <row r="9" spans="1:28" x14ac:dyDescent="0.2">
      <c r="A9" s="29"/>
      <c r="B9" s="19" t="s">
        <v>141</v>
      </c>
      <c r="C9" s="19">
        <v>3.5428600000000001</v>
      </c>
      <c r="D9" s="19">
        <v>3.1073734599999998</v>
      </c>
      <c r="E9" s="19">
        <v>2.9808555299999999</v>
      </c>
      <c r="F9" s="20">
        <v>1.97136</v>
      </c>
      <c r="G9" s="19">
        <v>2.9990359660000001</v>
      </c>
      <c r="H9" s="19">
        <v>3.7590501999999999</v>
      </c>
      <c r="I9" s="19">
        <v>3.9801809100000001</v>
      </c>
      <c r="J9" s="19">
        <v>3.7987832400000001</v>
      </c>
      <c r="K9" s="19">
        <v>3.3233156099999999</v>
      </c>
      <c r="L9" s="19">
        <v>3.4314211719999999</v>
      </c>
      <c r="M9" s="19">
        <v>0.19640663</v>
      </c>
      <c r="N9" s="19">
        <v>0.21273752000000001</v>
      </c>
      <c r="O9" s="19">
        <v>0.26985807000000001</v>
      </c>
      <c r="P9" s="19">
        <v>0.35088576799999999</v>
      </c>
      <c r="Q9" s="19">
        <v>0.31162437300000001</v>
      </c>
      <c r="R9" s="19">
        <v>1.50317185</v>
      </c>
      <c r="S9" s="19">
        <v>3.0496972200000001</v>
      </c>
      <c r="T9" s="19">
        <v>2.3593664900000002</v>
      </c>
      <c r="U9" s="19">
        <v>6.1133841560000004</v>
      </c>
      <c r="V9" s="19">
        <v>1.9793723000000001</v>
      </c>
      <c r="W9" s="19" t="str">
        <f t="shared" si="5"/>
        <v>0.19641 - 6.11338</v>
      </c>
      <c r="X9" s="19">
        <f t="shared" si="6"/>
        <v>2.4620370232499997</v>
      </c>
      <c r="Y9">
        <f t="shared" si="0"/>
        <v>2.9202969911999999</v>
      </c>
      <c r="Z9">
        <f t="shared" si="1"/>
        <v>3.6585502264</v>
      </c>
      <c r="AA9">
        <f t="shared" si="2"/>
        <v>0.26830247219999998</v>
      </c>
      <c r="AB9">
        <f t="shared" si="3"/>
        <v>3.0009984032000001</v>
      </c>
    </row>
    <row r="10" spans="1:28" x14ac:dyDescent="0.2">
      <c r="A10" s="29"/>
      <c r="B10" s="19" t="s">
        <v>142</v>
      </c>
      <c r="C10" s="19">
        <v>0</v>
      </c>
      <c r="D10" s="19">
        <v>0</v>
      </c>
      <c r="E10" s="19">
        <v>0</v>
      </c>
      <c r="F10" s="20">
        <v>7.0732379999999999E-3</v>
      </c>
      <c r="G10" s="19">
        <v>0</v>
      </c>
      <c r="H10" s="19">
        <v>0</v>
      </c>
      <c r="I10" s="19">
        <v>2.0554449999999998E-2</v>
      </c>
      <c r="J10" s="19">
        <v>2.2504779999999999E-2</v>
      </c>
      <c r="K10" s="19">
        <v>4.1014349999999998E-2</v>
      </c>
      <c r="L10" s="19">
        <v>0</v>
      </c>
      <c r="M10" s="19">
        <v>0</v>
      </c>
      <c r="N10" s="19">
        <v>0</v>
      </c>
      <c r="O10" s="19">
        <v>0</v>
      </c>
      <c r="P10" s="19">
        <v>9.1492039999999993E-3</v>
      </c>
      <c r="Q10" s="19">
        <v>8.3989779999999997E-3</v>
      </c>
      <c r="R10" s="19">
        <v>5.2507699999999997E-2</v>
      </c>
      <c r="S10" s="19">
        <v>0.26144493000000002</v>
      </c>
      <c r="T10" s="19">
        <v>0.17425226999999999</v>
      </c>
      <c r="U10" s="19">
        <v>0.38152114999999998</v>
      </c>
      <c r="V10" s="19">
        <v>6.7189990000000005E-2</v>
      </c>
      <c r="W10" s="19" t="str">
        <f t="shared" si="5"/>
        <v>0.00000 - 0.38152</v>
      </c>
      <c r="X10" s="19">
        <f t="shared" si="6"/>
        <v>5.2280551999999994E-2</v>
      </c>
      <c r="Y10">
        <f t="shared" si="0"/>
        <v>1.4146476E-3</v>
      </c>
      <c r="Z10">
        <f t="shared" si="1"/>
        <v>1.6814716E-2</v>
      </c>
      <c r="AA10">
        <f t="shared" si="2"/>
        <v>3.5096363999999997E-3</v>
      </c>
      <c r="AB10">
        <f t="shared" si="3"/>
        <v>0.187383208</v>
      </c>
    </row>
    <row r="11" spans="1:28" x14ac:dyDescent="0.2">
      <c r="A11" s="29"/>
      <c r="B11" s="19" t="s">
        <v>143</v>
      </c>
      <c r="C11" s="19">
        <v>4.5238281999999996</v>
      </c>
      <c r="D11" s="19">
        <v>4.0158826000000003</v>
      </c>
      <c r="E11" s="19">
        <v>3.6487350799999998</v>
      </c>
      <c r="F11" s="20">
        <v>2.1979950000000001</v>
      </c>
      <c r="G11" s="19">
        <v>4.0634052719999998</v>
      </c>
      <c r="H11" s="19">
        <v>4.5503999999999998</v>
      </c>
      <c r="I11" s="19">
        <v>4.1348612600000001</v>
      </c>
      <c r="J11" s="19">
        <v>4.6417645700000003</v>
      </c>
      <c r="K11" s="19">
        <v>3.5270857499999999</v>
      </c>
      <c r="L11" s="19">
        <v>4.1294727929999997</v>
      </c>
      <c r="M11" s="19">
        <v>1.1255898600000001</v>
      </c>
      <c r="N11" s="19">
        <v>1.0279568800000001</v>
      </c>
      <c r="O11" s="19">
        <v>1.2178346600000001</v>
      </c>
      <c r="P11" s="19">
        <v>0.98541914600000002</v>
      </c>
      <c r="Q11" s="19">
        <v>1.5284272329999999</v>
      </c>
      <c r="R11" s="19">
        <v>0.76206529000000001</v>
      </c>
      <c r="S11" s="19">
        <v>0.54829802000000005</v>
      </c>
      <c r="T11" s="19">
        <v>0.76328439999999997</v>
      </c>
      <c r="U11" s="19">
        <v>0.74097211900000004</v>
      </c>
      <c r="V11" s="19">
        <v>0.56712892999999998</v>
      </c>
      <c r="W11" s="19" t="str">
        <f t="shared" si="5"/>
        <v>0.54830 - 4.64176</v>
      </c>
      <c r="X11" s="19">
        <f t="shared" si="6"/>
        <v>2.4350203531500001</v>
      </c>
      <c r="Y11">
        <f t="shared" si="0"/>
        <v>3.6899692304</v>
      </c>
      <c r="Z11">
        <f t="shared" si="1"/>
        <v>4.1967168745999999</v>
      </c>
      <c r="AA11">
        <f t="shared" si="2"/>
        <v>1.1770455558000001</v>
      </c>
      <c r="AB11">
        <f t="shared" si="3"/>
        <v>0.6763497517999999</v>
      </c>
    </row>
    <row r="12" spans="1:28" x14ac:dyDescent="0.2">
      <c r="A12" s="29"/>
      <c r="B12" s="19" t="s">
        <v>144</v>
      </c>
      <c r="C12" s="19">
        <v>1.194841</v>
      </c>
      <c r="D12" s="19">
        <v>0.59348520000000005</v>
      </c>
      <c r="E12" s="19">
        <v>0.76351486000000002</v>
      </c>
      <c r="F12" s="20">
        <v>0.51896960000000003</v>
      </c>
      <c r="G12" s="19">
        <v>0.63613687900000004</v>
      </c>
      <c r="H12" s="19">
        <v>0.96298280000000003</v>
      </c>
      <c r="I12" s="19">
        <v>0.888212</v>
      </c>
      <c r="J12" s="19">
        <v>0.54925970999999996</v>
      </c>
      <c r="K12" s="19">
        <v>0.43892958999999998</v>
      </c>
      <c r="L12" s="19">
        <v>0.78667331900000004</v>
      </c>
      <c r="M12" s="19">
        <v>0.23949159</v>
      </c>
      <c r="N12" s="19">
        <v>0.23010317999999999</v>
      </c>
      <c r="O12" s="19">
        <v>0.24251218999999999</v>
      </c>
      <c r="P12" s="19">
        <v>0.26030933000000001</v>
      </c>
      <c r="Q12" s="19">
        <v>0.33048688100000001</v>
      </c>
      <c r="R12" s="19">
        <v>0.62601045</v>
      </c>
      <c r="S12" s="19">
        <v>0.80346371999999999</v>
      </c>
      <c r="T12" s="19">
        <v>0.61513068999999998</v>
      </c>
      <c r="U12" s="19">
        <v>0.63904651199999996</v>
      </c>
      <c r="V12" s="19">
        <v>0.36467313000000001</v>
      </c>
      <c r="W12" s="19" t="str">
        <f t="shared" si="5"/>
        <v>0.23010 - 1.19484</v>
      </c>
      <c r="X12" s="19">
        <f t="shared" si="6"/>
        <v>0.58421163155000022</v>
      </c>
      <c r="Y12">
        <f t="shared" si="0"/>
        <v>0.74138950780000001</v>
      </c>
      <c r="Z12">
        <f t="shared" si="1"/>
        <v>0.7252114838</v>
      </c>
      <c r="AA12">
        <f t="shared" si="2"/>
        <v>0.26058063419999999</v>
      </c>
      <c r="AB12">
        <f t="shared" si="3"/>
        <v>0.60966490039999999</v>
      </c>
    </row>
    <row r="13" spans="1:28" x14ac:dyDescent="0.2">
      <c r="A13" s="29"/>
      <c r="B13" s="19" t="s">
        <v>145</v>
      </c>
      <c r="C13" s="19">
        <v>13.263638200000001</v>
      </c>
      <c r="D13" s="19">
        <v>11.40266682</v>
      </c>
      <c r="E13" s="19">
        <v>11.344079450000001</v>
      </c>
      <c r="F13" s="20">
        <v>6.4021759999999999</v>
      </c>
      <c r="G13" s="19">
        <v>10.641173159999999</v>
      </c>
      <c r="H13" s="19">
        <v>13.5837854</v>
      </c>
      <c r="I13" s="19">
        <v>13.94176774</v>
      </c>
      <c r="J13" s="19">
        <v>14.240849770000001</v>
      </c>
      <c r="K13" s="19">
        <v>10.9125692</v>
      </c>
      <c r="L13" s="19">
        <v>14.26982911</v>
      </c>
      <c r="M13" s="19">
        <v>2.3758015800000001</v>
      </c>
      <c r="N13" s="19">
        <v>2.0940134100000001</v>
      </c>
      <c r="O13" s="19">
        <v>2.33897595</v>
      </c>
      <c r="P13" s="19">
        <v>2.4188034859999998</v>
      </c>
      <c r="Q13" s="19">
        <v>2.7960420130000001</v>
      </c>
      <c r="R13" s="19">
        <v>5.0950982700000003</v>
      </c>
      <c r="S13" s="19">
        <v>7.3873062000000003</v>
      </c>
      <c r="T13" s="19">
        <v>6.1394581300000004</v>
      </c>
      <c r="U13" s="19">
        <v>11.498306567</v>
      </c>
      <c r="V13" s="19">
        <v>4.28538087</v>
      </c>
      <c r="W13" s="19" t="str">
        <f t="shared" si="5"/>
        <v>2.09401 - 14.26983</v>
      </c>
      <c r="X13" s="19">
        <f t="shared" si="6"/>
        <v>8.3215860663000019</v>
      </c>
      <c r="Y13">
        <f t="shared" si="0"/>
        <v>10.610746726</v>
      </c>
      <c r="Z13">
        <f t="shared" si="1"/>
        <v>13.389760243999998</v>
      </c>
      <c r="AA13">
        <f t="shared" si="2"/>
        <v>2.4047272878000001</v>
      </c>
      <c r="AB13">
        <f t="shared" si="3"/>
        <v>6.8811100073999993</v>
      </c>
    </row>
    <row r="14" spans="1:28" x14ac:dyDescent="0.2">
      <c r="A14" s="24" t="s">
        <v>187</v>
      </c>
      <c r="B14" s="19" t="s">
        <v>146</v>
      </c>
      <c r="C14" s="19">
        <v>26.142809100000001</v>
      </c>
      <c r="D14" s="19">
        <v>26.43384734</v>
      </c>
      <c r="E14" s="19">
        <v>25.02804798</v>
      </c>
      <c r="F14" s="20">
        <v>15.14583</v>
      </c>
      <c r="G14" s="19">
        <v>24.785155219</v>
      </c>
      <c r="H14" s="19">
        <v>26.35866476</v>
      </c>
      <c r="I14" s="19">
        <v>25.006465590000001</v>
      </c>
      <c r="J14" s="19">
        <v>25.913340290000001</v>
      </c>
      <c r="K14" s="19">
        <v>18.487667842</v>
      </c>
      <c r="L14" s="19">
        <v>24.41714271</v>
      </c>
      <c r="M14" s="19">
        <v>15.74093324</v>
      </c>
      <c r="N14" s="19">
        <v>17.799143789999999</v>
      </c>
      <c r="O14" s="19">
        <v>17.264885400000001</v>
      </c>
      <c r="P14" s="19">
        <v>16.063235945999999</v>
      </c>
      <c r="Q14" s="19">
        <v>20.317905662000001</v>
      </c>
      <c r="R14" s="19">
        <v>15.4797692</v>
      </c>
      <c r="S14" s="19">
        <v>19.11630564</v>
      </c>
      <c r="T14" s="19">
        <v>18.27461332</v>
      </c>
      <c r="U14" s="19">
        <v>27.860486028</v>
      </c>
      <c r="V14" s="19">
        <v>13.160956819999999</v>
      </c>
      <c r="W14" s="19" t="str">
        <f t="shared" si="5"/>
        <v>13.16096 - 27.86049</v>
      </c>
      <c r="X14" s="19">
        <f t="shared" si="6"/>
        <v>20.93986029385001</v>
      </c>
      <c r="Y14">
        <f t="shared" si="0"/>
        <v>23.507137927800002</v>
      </c>
      <c r="Z14">
        <f t="shared" si="1"/>
        <v>24.036656238400003</v>
      </c>
      <c r="AA14">
        <f t="shared" si="2"/>
        <v>17.437220807600003</v>
      </c>
      <c r="AB14">
        <f t="shared" si="3"/>
        <v>18.778426201599999</v>
      </c>
    </row>
    <row r="15" spans="1:28" x14ac:dyDescent="0.2">
      <c r="A15" s="25" t="s">
        <v>188</v>
      </c>
      <c r="B15" s="19" t="s">
        <v>189</v>
      </c>
      <c r="C15" s="19">
        <v>18.659052299999999</v>
      </c>
      <c r="D15" s="19">
        <v>18.21404351</v>
      </c>
      <c r="E15" s="19">
        <v>17.290519410000002</v>
      </c>
      <c r="F15" s="20">
        <v>10.945119999999999</v>
      </c>
      <c r="G15" s="19">
        <v>17.527098835</v>
      </c>
      <c r="H15" s="19">
        <v>19.17125025</v>
      </c>
      <c r="I15" s="19">
        <v>20.251946220000001</v>
      </c>
      <c r="J15" s="19">
        <v>18.25118638</v>
      </c>
      <c r="K15" s="19">
        <v>11.331144979999999</v>
      </c>
      <c r="L15" s="19">
        <v>18.442604823</v>
      </c>
      <c r="M15" s="19">
        <v>5.3752876799999996</v>
      </c>
      <c r="N15" s="19">
        <v>6.45733274</v>
      </c>
      <c r="O15" s="19">
        <v>5.8433189600000004</v>
      </c>
      <c r="P15" s="19">
        <v>6.2284323659999998</v>
      </c>
      <c r="Q15" s="19">
        <v>6.581886409</v>
      </c>
      <c r="R15" s="19">
        <v>8.73825216</v>
      </c>
      <c r="S15" s="19">
        <v>10.76718838</v>
      </c>
      <c r="T15" s="19">
        <v>9.9510073600000002</v>
      </c>
      <c r="U15" s="19">
        <v>14.037395621</v>
      </c>
      <c r="V15" s="19">
        <v>9.4621143500000002</v>
      </c>
      <c r="W15" s="19" t="str">
        <f t="shared" si="5"/>
        <v>5.37529 - 20.25195</v>
      </c>
      <c r="X15" s="19">
        <f t="shared" si="6"/>
        <v>12.676309136700002</v>
      </c>
      <c r="Y15">
        <f t="shared" si="0"/>
        <v>16.527166811000001</v>
      </c>
      <c r="Z15">
        <f t="shared" si="1"/>
        <v>17.489626530599999</v>
      </c>
      <c r="AA15">
        <f t="shared" si="2"/>
        <v>6.0972516309999998</v>
      </c>
      <c r="AB15">
        <f t="shared" si="3"/>
        <v>10.5911915742</v>
      </c>
    </row>
    <row r="16" spans="1:28" x14ac:dyDescent="0.2">
      <c r="A16" s="25" t="s">
        <v>190</v>
      </c>
      <c r="B16" s="19" t="s">
        <v>191</v>
      </c>
      <c r="C16" s="19">
        <v>43.6424989</v>
      </c>
      <c r="D16" s="19">
        <v>40.89211667</v>
      </c>
      <c r="E16" s="19">
        <v>40.853983849999999</v>
      </c>
      <c r="F16" s="20">
        <v>25.342849999999999</v>
      </c>
      <c r="G16" s="19">
        <v>39.382325381000001</v>
      </c>
      <c r="H16" s="19">
        <v>43.092526679999999</v>
      </c>
      <c r="I16" s="19">
        <v>42.23312585</v>
      </c>
      <c r="J16" s="19">
        <v>40.217981809999998</v>
      </c>
      <c r="K16" s="19">
        <v>25.475613070000001</v>
      </c>
      <c r="L16" s="19">
        <v>41.562166795000003</v>
      </c>
      <c r="M16" s="19">
        <v>19.698639419999999</v>
      </c>
      <c r="N16" s="19">
        <v>19.746439850000002</v>
      </c>
      <c r="O16" s="19">
        <v>16.656066760000002</v>
      </c>
      <c r="P16" s="19">
        <v>20.955642757</v>
      </c>
      <c r="Q16" s="19">
        <v>20.042845214</v>
      </c>
      <c r="R16" s="19">
        <v>27.342299069999999</v>
      </c>
      <c r="S16" s="19">
        <v>28.26339372</v>
      </c>
      <c r="T16" s="19">
        <v>24.916018170000001</v>
      </c>
      <c r="U16" s="19">
        <v>25.347840989000002</v>
      </c>
      <c r="V16" s="19">
        <v>24.012482899999998</v>
      </c>
      <c r="W16" s="19" t="str">
        <f t="shared" si="5"/>
        <v>16.65607 - 43.64250</v>
      </c>
      <c r="X16" s="19">
        <f t="shared" si="6"/>
        <v>30.483842892800006</v>
      </c>
      <c r="Y16">
        <f t="shared" si="0"/>
        <v>38.022754960199997</v>
      </c>
      <c r="Z16">
        <f t="shared" si="1"/>
        <v>38.516282840999999</v>
      </c>
      <c r="AA16">
        <f t="shared" si="2"/>
        <v>19.419926800199999</v>
      </c>
      <c r="AB16">
        <f t="shared" si="3"/>
        <v>25.976406969800003</v>
      </c>
    </row>
    <row r="17" spans="1:28" x14ac:dyDescent="0.2">
      <c r="A17" s="30" t="s">
        <v>192</v>
      </c>
      <c r="B17" s="19" t="s">
        <v>193</v>
      </c>
      <c r="C17" s="19">
        <v>0.104908</v>
      </c>
      <c r="D17" s="19">
        <v>0.12086405</v>
      </c>
      <c r="E17" s="19">
        <v>9.8032220000000003E-2</v>
      </c>
      <c r="F17" s="20">
        <v>0.23290810000000001</v>
      </c>
      <c r="G17" s="19">
        <v>8.3891878000000003E-2</v>
      </c>
      <c r="H17" s="19">
        <v>5.3843189999999999E-2</v>
      </c>
      <c r="I17" s="19">
        <v>0.19572379000000001</v>
      </c>
      <c r="J17" s="19">
        <v>0.22149874999999999</v>
      </c>
      <c r="K17" s="19">
        <v>0.12041066</v>
      </c>
      <c r="L17" s="19">
        <v>9.5410580999999994E-2</v>
      </c>
      <c r="M17" s="19">
        <v>6.2557500000000002E-2</v>
      </c>
      <c r="N17" s="19">
        <v>3.9431600000000002E-3</v>
      </c>
      <c r="O17" s="19">
        <v>1.810529E-2</v>
      </c>
      <c r="P17" s="19">
        <v>1.0542754999999999E-2</v>
      </c>
      <c r="Q17" s="19">
        <v>1.1100359000000001E-2</v>
      </c>
      <c r="R17" s="19">
        <v>1.16432325</v>
      </c>
      <c r="S17" s="19">
        <v>1.16893435</v>
      </c>
      <c r="T17" s="19">
        <v>1.2882107599999999</v>
      </c>
      <c r="U17" s="19">
        <v>1.5091858709999999</v>
      </c>
      <c r="V17" s="19">
        <v>0.77695970000000003</v>
      </c>
      <c r="W17" s="19" t="str">
        <f t="shared" si="5"/>
        <v>0.00394 - 1.50919</v>
      </c>
      <c r="X17" s="19">
        <f t="shared" si="6"/>
        <v>0.36706771069999999</v>
      </c>
      <c r="Y17">
        <f t="shared" si="0"/>
        <v>0.1281208496</v>
      </c>
      <c r="Z17">
        <f t="shared" si="1"/>
        <v>0.1373773942</v>
      </c>
      <c r="AA17">
        <f t="shared" si="2"/>
        <v>2.12498128E-2</v>
      </c>
      <c r="AB17">
        <f t="shared" si="3"/>
        <v>1.1815227862</v>
      </c>
    </row>
    <row r="18" spans="1:28" x14ac:dyDescent="0.2">
      <c r="A18" s="30"/>
      <c r="B18" s="19" t="s">
        <v>194</v>
      </c>
      <c r="C18" s="19">
        <v>37.801509000000003</v>
      </c>
      <c r="D18" s="19">
        <v>36.24255574</v>
      </c>
      <c r="E18" s="19">
        <v>38.292815300000001</v>
      </c>
      <c r="F18" s="20">
        <v>25.150269999999999</v>
      </c>
      <c r="G18" s="19">
        <v>34.059965562000002</v>
      </c>
      <c r="H18" s="19">
        <v>37.722739349999998</v>
      </c>
      <c r="I18" s="19">
        <v>40.15894539</v>
      </c>
      <c r="J18" s="19">
        <v>39.127442539999997</v>
      </c>
      <c r="K18" s="19">
        <v>26.437091909999999</v>
      </c>
      <c r="L18" s="19">
        <v>39.715653676999999</v>
      </c>
      <c r="M18" s="19">
        <v>35.852859299999999</v>
      </c>
      <c r="N18" s="19">
        <v>37.096160900000001</v>
      </c>
      <c r="O18" s="19">
        <v>36.868123750000002</v>
      </c>
      <c r="P18" s="19">
        <v>37.331006778999999</v>
      </c>
      <c r="Q18" s="19">
        <v>36.88865448</v>
      </c>
      <c r="R18" s="19">
        <v>33.243008889999999</v>
      </c>
      <c r="S18" s="19">
        <v>35.109078359999998</v>
      </c>
      <c r="T18" s="19">
        <v>33.701974720000003</v>
      </c>
      <c r="U18" s="19">
        <v>34.155541091000003</v>
      </c>
      <c r="V18" s="19">
        <v>33.765746980000003</v>
      </c>
      <c r="W18" s="19" t="str">
        <f t="shared" si="5"/>
        <v>25.15027 - 40.15895</v>
      </c>
      <c r="X18" s="19">
        <f t="shared" si="6"/>
        <v>35.436057185949998</v>
      </c>
      <c r="Y18">
        <f t="shared" si="0"/>
        <v>34.309423120400005</v>
      </c>
      <c r="Z18">
        <f t="shared" si="1"/>
        <v>36.6323745734</v>
      </c>
      <c r="AA18">
        <f t="shared" si="2"/>
        <v>36.807361041800007</v>
      </c>
      <c r="AB18">
        <f t="shared" si="3"/>
        <v>33.995070008200003</v>
      </c>
    </row>
    <row r="19" spans="1:28" ht="19" x14ac:dyDescent="0.2">
      <c r="A19" s="17" t="s">
        <v>147</v>
      </c>
      <c r="B19" s="19" t="s">
        <v>148</v>
      </c>
      <c r="C19" s="19">
        <v>7.1770503000000003</v>
      </c>
      <c r="D19" s="19">
        <v>6.6463032799999997</v>
      </c>
      <c r="E19" s="19">
        <v>6.7714853699999997</v>
      </c>
      <c r="F19" s="20">
        <v>4.3324920000000002</v>
      </c>
      <c r="G19" s="19">
        <v>5.7948628439999998</v>
      </c>
      <c r="H19" s="19">
        <v>6.1199921000000002</v>
      </c>
      <c r="I19" s="19">
        <v>6.46435973</v>
      </c>
      <c r="J19" s="19">
        <v>5.8302510700000001</v>
      </c>
      <c r="K19" s="19">
        <v>3.7824222700000001</v>
      </c>
      <c r="L19" s="19">
        <v>6.0345909359999999</v>
      </c>
      <c r="M19" s="19">
        <v>2.6479259499999999</v>
      </c>
      <c r="N19" s="19">
        <v>2.88336236</v>
      </c>
      <c r="O19" s="19">
        <v>2.9204832000000001</v>
      </c>
      <c r="P19" s="19">
        <v>2.7483250830000001</v>
      </c>
      <c r="Q19" s="19">
        <v>3.9138222909999998</v>
      </c>
      <c r="R19" s="19">
        <v>0.79269785000000004</v>
      </c>
      <c r="S19" s="19">
        <v>0.91367613000000003</v>
      </c>
      <c r="T19" s="19">
        <v>1.40016612</v>
      </c>
      <c r="U19" s="19">
        <v>1.5527513390000001</v>
      </c>
      <c r="V19" s="19">
        <v>0.85167530000000002</v>
      </c>
      <c r="W19" s="19" t="str">
        <f t="shared" si="5"/>
        <v>0.79270 - 7.17705</v>
      </c>
      <c r="X19" s="19">
        <f t="shared" si="6"/>
        <v>3.9789347761499996</v>
      </c>
      <c r="Y19">
        <f t="shared" si="0"/>
        <v>6.1444387587999998</v>
      </c>
      <c r="Z19">
        <f t="shared" si="1"/>
        <v>5.6463232212000003</v>
      </c>
      <c r="AA19">
        <f t="shared" si="2"/>
        <v>3.0227837767999999</v>
      </c>
      <c r="AB19">
        <f t="shared" si="3"/>
        <v>1.1021933478000001</v>
      </c>
    </row>
    <row r="20" spans="1:28" x14ac:dyDescent="0.2">
      <c r="A20" s="31" t="s">
        <v>149</v>
      </c>
      <c r="B20" s="19" t="s">
        <v>150</v>
      </c>
      <c r="C20" s="19">
        <v>4.7186469999999998</v>
      </c>
      <c r="D20" s="19">
        <v>6.9396047000000003</v>
      </c>
      <c r="E20" s="19">
        <v>7.1469079000000004</v>
      </c>
      <c r="F20" s="20">
        <v>6.475994</v>
      </c>
      <c r="G20" s="19">
        <v>6.4426600330000001</v>
      </c>
      <c r="H20" s="19">
        <v>4.0025008099999999</v>
      </c>
      <c r="I20" s="19">
        <v>5.6671044300000002</v>
      </c>
      <c r="J20" s="19">
        <v>6.4209150700000004</v>
      </c>
      <c r="K20" s="19">
        <v>6.3049090669999996</v>
      </c>
      <c r="L20" s="19">
        <v>5.1091090670000003</v>
      </c>
      <c r="M20" s="19">
        <v>4.6201485</v>
      </c>
      <c r="N20" s="19">
        <v>5.4605134299999998</v>
      </c>
      <c r="O20" s="19">
        <v>4.3681091299999997</v>
      </c>
      <c r="P20" s="19">
        <v>4.3618921000000004</v>
      </c>
      <c r="Q20" s="19">
        <v>5.3323214669999999</v>
      </c>
      <c r="R20" s="19">
        <v>1.4163069699999999</v>
      </c>
      <c r="S20" s="19">
        <v>0.75778076999999999</v>
      </c>
      <c r="T20" s="19">
        <v>0.88796127000000002</v>
      </c>
      <c r="U20" s="19">
        <v>0.88369456700000004</v>
      </c>
      <c r="V20" s="19">
        <v>1.0752619999999999</v>
      </c>
      <c r="W20" s="19" t="str">
        <f t="shared" si="5"/>
        <v>0.75778 - 7.14691</v>
      </c>
      <c r="X20" s="19">
        <f t="shared" si="6"/>
        <v>4.4196171140500002</v>
      </c>
      <c r="Y20">
        <f t="shared" ref="Y20:Y29" si="7">AVERAGE(C20:G20)</f>
        <v>6.3447627266000008</v>
      </c>
      <c r="Z20">
        <f t="shared" ref="Z20:Z29" si="8">AVERAGE(H20:L20)</f>
        <v>5.5009076887999999</v>
      </c>
      <c r="AA20">
        <f t="shared" ref="AA20:AA29" si="9">AVERAGE(M20:Q20)</f>
        <v>4.8285969253999994</v>
      </c>
      <c r="AB20">
        <f t="shared" ref="AB20:AB29" si="10">AVERAGE(R20:V20)</f>
        <v>1.0042011154000001</v>
      </c>
    </row>
    <row r="21" spans="1:28" x14ac:dyDescent="0.2">
      <c r="A21" s="31"/>
      <c r="B21" s="19" t="s">
        <v>151</v>
      </c>
      <c r="C21" s="19">
        <v>9.7595022999999994</v>
      </c>
      <c r="D21" s="19">
        <v>16.381191000000001</v>
      </c>
      <c r="E21" s="19">
        <v>19.891294330000001</v>
      </c>
      <c r="F21" s="20">
        <v>19.036919999999999</v>
      </c>
      <c r="G21" s="19">
        <v>16.795603967000002</v>
      </c>
      <c r="H21" s="19">
        <v>12.375054</v>
      </c>
      <c r="I21" s="19">
        <v>18.34940447</v>
      </c>
      <c r="J21" s="19">
        <v>20.503711200000001</v>
      </c>
      <c r="K21" s="19">
        <v>20.599305867000002</v>
      </c>
      <c r="L21" s="19">
        <v>18.806775933000001</v>
      </c>
      <c r="M21" s="19">
        <v>7.3620512700000003</v>
      </c>
      <c r="N21" s="19">
        <v>8.0326428700000001</v>
      </c>
      <c r="O21" s="19">
        <v>7.7659862000000004</v>
      </c>
      <c r="P21" s="19">
        <v>8.6758834999999994</v>
      </c>
      <c r="Q21" s="19">
        <v>6.7145150999999998</v>
      </c>
      <c r="R21" s="19">
        <v>8.1836058999999999</v>
      </c>
      <c r="S21" s="19">
        <v>5.5616587700000002</v>
      </c>
      <c r="T21" s="19">
        <v>7.1836537700000003</v>
      </c>
      <c r="U21" s="19">
        <v>5.7731280329999999</v>
      </c>
      <c r="V21" s="19">
        <v>6.8509503699999996</v>
      </c>
      <c r="W21" s="19" t="str">
        <f t="shared" si="5"/>
        <v>5.56166 - 20.59931</v>
      </c>
      <c r="X21" s="19">
        <f t="shared" si="6"/>
        <v>12.230141942500001</v>
      </c>
      <c r="Y21">
        <f t="shared" si="7"/>
        <v>16.372902319400001</v>
      </c>
      <c r="Z21">
        <f t="shared" si="8"/>
        <v>18.126850294</v>
      </c>
      <c r="AA21">
        <f t="shared" si="9"/>
        <v>7.7102157879999993</v>
      </c>
      <c r="AB21">
        <f t="shared" si="10"/>
        <v>6.7105993686000005</v>
      </c>
    </row>
    <row r="22" spans="1:28" x14ac:dyDescent="0.2">
      <c r="A22" s="31"/>
      <c r="B22" s="19" t="s">
        <v>195</v>
      </c>
      <c r="C22" s="19">
        <v>1.7016001000000001</v>
      </c>
      <c r="D22" s="19">
        <v>2.6029713000000001</v>
      </c>
      <c r="E22" s="19">
        <v>1.49083627</v>
      </c>
      <c r="F22" s="20">
        <v>3.3075290000000002</v>
      </c>
      <c r="G22" s="19">
        <v>2.4599772999999998</v>
      </c>
      <c r="H22" s="19">
        <v>1.4094793699999999</v>
      </c>
      <c r="I22" s="19">
        <v>2.8999362</v>
      </c>
      <c r="J22" s="19">
        <v>1.6318912999999999</v>
      </c>
      <c r="K22" s="19">
        <v>2.6350108329999999</v>
      </c>
      <c r="L22" s="19">
        <v>3.2808896330000001</v>
      </c>
      <c r="M22" s="19">
        <v>2.6668095300000001</v>
      </c>
      <c r="N22" s="19">
        <v>2.2500779</v>
      </c>
      <c r="O22" s="19">
        <v>1.2810368700000001</v>
      </c>
      <c r="P22" s="19">
        <v>3.002148933</v>
      </c>
      <c r="Q22" s="19">
        <v>2.1402741000000001</v>
      </c>
      <c r="R22" s="19">
        <v>1.2553891699999999</v>
      </c>
      <c r="S22" s="19">
        <v>1.0556406</v>
      </c>
      <c r="T22" s="19">
        <v>0.89937020000000001</v>
      </c>
      <c r="U22" s="19">
        <v>1.1087933000000001</v>
      </c>
      <c r="V22" s="19">
        <v>1.3638280300000001</v>
      </c>
      <c r="W22" s="19" t="str">
        <f t="shared" si="5"/>
        <v>0.89937 - 3.30753</v>
      </c>
      <c r="X22" s="19">
        <f t="shared" si="6"/>
        <v>2.02217449695</v>
      </c>
      <c r="Y22">
        <f t="shared" si="7"/>
        <v>2.3125827939999999</v>
      </c>
      <c r="Z22">
        <f t="shared" si="8"/>
        <v>2.3714414672000004</v>
      </c>
      <c r="AA22">
        <f t="shared" si="9"/>
        <v>2.2680694666000001</v>
      </c>
      <c r="AB22">
        <f t="shared" si="10"/>
        <v>1.1366042599999999</v>
      </c>
    </row>
    <row r="23" spans="1:28" x14ac:dyDescent="0.2">
      <c r="A23" s="31"/>
      <c r="B23" s="19" t="s">
        <v>196</v>
      </c>
      <c r="C23" s="19">
        <v>5.1791299999999998E-2</v>
      </c>
      <c r="D23" s="19">
        <v>2.2904899999999999E-2</v>
      </c>
      <c r="E23" s="19">
        <v>1.0356799999999999E-2</v>
      </c>
      <c r="F23" s="20">
        <v>7.7595600000000001E-2</v>
      </c>
      <c r="G23" s="19">
        <v>4.6592532999999998E-2</v>
      </c>
      <c r="H23" s="19">
        <v>8.4658029999999995E-2</v>
      </c>
      <c r="I23" s="19">
        <v>3.5323029999999998E-2</v>
      </c>
      <c r="J23" s="19">
        <v>1.8167969999999999E-2</v>
      </c>
      <c r="K23" s="19">
        <v>9.4646330000000001E-3</v>
      </c>
      <c r="L23" s="19">
        <v>0.15874946700000001</v>
      </c>
      <c r="M23" s="19">
        <v>0.24852257</v>
      </c>
      <c r="N23" s="19">
        <v>0.52980950000000004</v>
      </c>
      <c r="O23" s="19">
        <v>0.18357490000000001</v>
      </c>
      <c r="P23" s="19">
        <v>0.38537756699999998</v>
      </c>
      <c r="Q23" s="19">
        <v>0.48637443299999999</v>
      </c>
      <c r="R23" s="19">
        <v>0.1274132</v>
      </c>
      <c r="S23" s="19">
        <v>0.20366977</v>
      </c>
      <c r="T23" s="19">
        <v>0.11780740000000001</v>
      </c>
      <c r="U23" s="19">
        <v>0.1374059</v>
      </c>
      <c r="V23" s="19">
        <v>0.20907217</v>
      </c>
      <c r="W23" s="19" t="str">
        <f t="shared" si="5"/>
        <v>0.00946 - 0.52981</v>
      </c>
      <c r="X23" s="19">
        <f t="shared" si="6"/>
        <v>0.15723158364999995</v>
      </c>
      <c r="Y23">
        <f t="shared" si="7"/>
        <v>4.1848226599999996E-2</v>
      </c>
      <c r="Z23">
        <f t="shared" si="8"/>
        <v>6.1272626000000011E-2</v>
      </c>
      <c r="AA23">
        <f t="shared" si="9"/>
        <v>0.366731794</v>
      </c>
      <c r="AB23">
        <f t="shared" si="10"/>
        <v>0.15907368799999999</v>
      </c>
    </row>
    <row r="24" spans="1:28" x14ac:dyDescent="0.2">
      <c r="A24" s="17" t="s">
        <v>152</v>
      </c>
      <c r="B24" s="19" t="s">
        <v>153</v>
      </c>
      <c r="C24" s="19">
        <v>0.41203859999999998</v>
      </c>
      <c r="D24" s="19">
        <v>0.45830926</v>
      </c>
      <c r="E24" s="19">
        <v>0.41681551999999999</v>
      </c>
      <c r="F24" s="20">
        <v>0.2797444</v>
      </c>
      <c r="G24" s="19">
        <v>0.44778954399999998</v>
      </c>
      <c r="H24" s="19">
        <v>0.87828890000000004</v>
      </c>
      <c r="I24" s="19">
        <v>0.65176425000000004</v>
      </c>
      <c r="J24" s="19">
        <v>0.46266837</v>
      </c>
      <c r="K24" s="19">
        <v>0.30475329000000001</v>
      </c>
      <c r="L24" s="19">
        <v>0.69212512500000001</v>
      </c>
      <c r="M24" s="19">
        <v>4.5572880000000003E-2</v>
      </c>
      <c r="N24" s="19">
        <v>3.6785379999999999E-2</v>
      </c>
      <c r="O24" s="19">
        <v>6.9296430000000006E-2</v>
      </c>
      <c r="P24" s="19">
        <v>1.9210064999999998E-2</v>
      </c>
      <c r="Q24" s="19">
        <v>7.9943439000000005E-2</v>
      </c>
      <c r="R24" s="19">
        <v>6.7628380000000002E-2</v>
      </c>
      <c r="S24" s="19">
        <v>6.145399E-2</v>
      </c>
      <c r="T24" s="19">
        <v>0.10607653</v>
      </c>
      <c r="U24" s="19">
        <v>0.43118815900000002</v>
      </c>
      <c r="V24" s="19">
        <v>1.4636130000000001E-2</v>
      </c>
      <c r="W24" s="19" t="str">
        <f t="shared" si="5"/>
        <v>0.01464 - 0.87829</v>
      </c>
      <c r="X24" s="19">
        <f t="shared" si="6"/>
        <v>0.29680443210000018</v>
      </c>
      <c r="Y24">
        <f t="shared" si="7"/>
        <v>0.40293946480000004</v>
      </c>
      <c r="Z24">
        <f t="shared" si="8"/>
        <v>0.59791998700000004</v>
      </c>
      <c r="AA24">
        <f t="shared" si="9"/>
        <v>5.0161638799999998E-2</v>
      </c>
      <c r="AB24">
        <f t="shared" si="10"/>
        <v>0.13619663779999999</v>
      </c>
    </row>
    <row r="25" spans="1:28" x14ac:dyDescent="0.2">
      <c r="A25" s="31" t="s">
        <v>154</v>
      </c>
      <c r="B25" s="19" t="s">
        <v>155</v>
      </c>
      <c r="C25" s="19">
        <v>11.126365699999999</v>
      </c>
      <c r="D25" s="19">
        <v>9.2205083699999992</v>
      </c>
      <c r="E25" s="19">
        <v>10.04913462</v>
      </c>
      <c r="F25" s="20">
        <v>8.5861099999999997</v>
      </c>
      <c r="G25" s="19">
        <v>11.962179115</v>
      </c>
      <c r="H25" s="19">
        <v>7.0460966999999997</v>
      </c>
      <c r="I25" s="19">
        <v>4.74770995</v>
      </c>
      <c r="J25" s="19">
        <v>5.3221665199999997</v>
      </c>
      <c r="K25" s="19">
        <v>3.1478543399999999</v>
      </c>
      <c r="L25" s="19">
        <v>5.007925148</v>
      </c>
      <c r="M25" s="19">
        <v>3.5194710499999999</v>
      </c>
      <c r="N25" s="19">
        <v>3.3934361700000002</v>
      </c>
      <c r="O25" s="19">
        <v>3.90262252</v>
      </c>
      <c r="P25" s="19">
        <v>3.5107078110000001</v>
      </c>
      <c r="Q25" s="19">
        <v>4.7082004770000001</v>
      </c>
      <c r="R25" s="19">
        <v>1.25461475</v>
      </c>
      <c r="S25" s="19">
        <v>0.40500754999999999</v>
      </c>
      <c r="T25" s="19">
        <v>0.63937337999999999</v>
      </c>
      <c r="U25" s="19">
        <v>0.82585213599999996</v>
      </c>
      <c r="V25" s="19">
        <v>0.61933939000000005</v>
      </c>
      <c r="W25" s="19" t="str">
        <f t="shared" si="5"/>
        <v>0.40501 - 11.96218</v>
      </c>
      <c r="X25" s="19">
        <f t="shared" si="6"/>
        <v>4.9497337848499985</v>
      </c>
      <c r="Y25">
        <f t="shared" si="7"/>
        <v>10.188859560999999</v>
      </c>
      <c r="Z25">
        <f t="shared" si="8"/>
        <v>5.054350531599999</v>
      </c>
      <c r="AA25">
        <f t="shared" si="9"/>
        <v>3.8068876056000001</v>
      </c>
      <c r="AB25">
        <f t="shared" si="10"/>
        <v>0.74883744119999995</v>
      </c>
    </row>
    <row r="26" spans="1:28" x14ac:dyDescent="0.2">
      <c r="A26" s="31"/>
      <c r="B26" s="19" t="s">
        <v>156</v>
      </c>
      <c r="C26" s="19">
        <v>0.71477950000000001</v>
      </c>
      <c r="D26" s="19">
        <v>0.66038525000000003</v>
      </c>
      <c r="E26" s="19">
        <v>0.56083366999999995</v>
      </c>
      <c r="F26" s="20">
        <v>0.3349451</v>
      </c>
      <c r="G26" s="19">
        <v>0.62908894100000001</v>
      </c>
      <c r="H26" s="19">
        <v>0.79473530000000003</v>
      </c>
      <c r="I26" s="19">
        <v>0.69791667999999996</v>
      </c>
      <c r="J26" s="19">
        <v>0.54534654000000005</v>
      </c>
      <c r="K26" s="19">
        <v>0.35907640000000002</v>
      </c>
      <c r="L26" s="19">
        <v>0.59518185899999998</v>
      </c>
      <c r="M26" s="19">
        <v>6.3322639999999999E-2</v>
      </c>
      <c r="N26" s="19">
        <v>0.11719138</v>
      </c>
      <c r="O26" s="19">
        <v>4.6747419999999998E-2</v>
      </c>
      <c r="P26" s="19">
        <v>5.5358035999999999E-2</v>
      </c>
      <c r="Q26" s="19">
        <v>0.121818737</v>
      </c>
      <c r="R26" s="19">
        <v>0.11540256</v>
      </c>
      <c r="S26" s="19">
        <v>3.3731249999999997E-2</v>
      </c>
      <c r="T26" s="19">
        <v>6.176972E-2</v>
      </c>
      <c r="U26" s="19">
        <v>0.168530604</v>
      </c>
      <c r="V26" s="19">
        <v>4.4901980000000001E-2</v>
      </c>
      <c r="W26" s="19" t="str">
        <f t="shared" si="5"/>
        <v>0.03373 - 0.79474</v>
      </c>
      <c r="X26" s="19">
        <f t="shared" si="6"/>
        <v>0.33605317834999998</v>
      </c>
      <c r="Y26">
        <f t="shared" si="7"/>
        <v>0.58000649220000011</v>
      </c>
      <c r="Z26">
        <f t="shared" si="8"/>
        <v>0.59845135579999997</v>
      </c>
      <c r="AA26">
        <f t="shared" si="9"/>
        <v>8.0887642600000004E-2</v>
      </c>
      <c r="AB26">
        <f t="shared" si="10"/>
        <v>8.4867222800000003E-2</v>
      </c>
    </row>
    <row r="27" spans="1:28" x14ac:dyDescent="0.2">
      <c r="A27" s="31"/>
      <c r="B27" s="19" t="s">
        <v>157</v>
      </c>
      <c r="C27" s="19">
        <v>0.68723869999999998</v>
      </c>
      <c r="D27" s="19">
        <v>0.77081129000000004</v>
      </c>
      <c r="E27" s="19">
        <v>0.72459574999999998</v>
      </c>
      <c r="F27" s="20">
        <v>0.4397644</v>
      </c>
      <c r="G27" s="19">
        <v>0.71850666699999999</v>
      </c>
      <c r="H27" s="19">
        <v>0.8325631</v>
      </c>
      <c r="I27" s="19">
        <v>0.81285436</v>
      </c>
      <c r="J27" s="19">
        <v>1.05607396</v>
      </c>
      <c r="K27" s="19">
        <v>0.81842488000000002</v>
      </c>
      <c r="L27" s="19">
        <v>0.78043074999999995</v>
      </c>
      <c r="M27" s="19">
        <v>0.17137162</v>
      </c>
      <c r="N27" s="19">
        <v>0.61958964000000005</v>
      </c>
      <c r="O27" s="19">
        <v>0.42975808999999998</v>
      </c>
      <c r="P27" s="19">
        <v>0.44317827799999998</v>
      </c>
      <c r="Q27" s="19">
        <v>0.54466335700000001</v>
      </c>
      <c r="R27" s="19">
        <v>0.30305416000000002</v>
      </c>
      <c r="S27" s="19">
        <v>0.82722419999999997</v>
      </c>
      <c r="T27" s="19">
        <v>0.55624786999999998</v>
      </c>
      <c r="U27" s="19">
        <v>2.1803839850000002</v>
      </c>
      <c r="V27" s="19">
        <v>0.46395618999999999</v>
      </c>
      <c r="W27" s="19" t="str">
        <f t="shared" si="5"/>
        <v>0.17137 - 2.18038</v>
      </c>
      <c r="X27" s="19">
        <f t="shared" si="6"/>
        <v>0.70903456235000006</v>
      </c>
      <c r="Y27">
        <f t="shared" si="7"/>
        <v>0.66818336140000001</v>
      </c>
      <c r="Z27">
        <f t="shared" si="8"/>
        <v>0.86006941000000003</v>
      </c>
      <c r="AA27">
        <f t="shared" si="9"/>
        <v>0.44171219700000003</v>
      </c>
      <c r="AB27">
        <f t="shared" si="10"/>
        <v>0.86617328100000002</v>
      </c>
    </row>
    <row r="28" spans="1:28" x14ac:dyDescent="0.2">
      <c r="A28" s="17" t="s">
        <v>158</v>
      </c>
      <c r="B28" s="19" t="s">
        <v>159</v>
      </c>
      <c r="C28" s="19">
        <v>2.8405458000000001</v>
      </c>
      <c r="D28" s="19">
        <v>2.54129732</v>
      </c>
      <c r="E28" s="19">
        <v>2.74250997</v>
      </c>
      <c r="F28" s="20">
        <v>1.393492</v>
      </c>
      <c r="G28" s="19">
        <v>2.3630666790000001</v>
      </c>
      <c r="H28" s="19">
        <v>2.8257688999999999</v>
      </c>
      <c r="I28" s="19">
        <v>3.1272543599999998</v>
      </c>
      <c r="J28" s="19">
        <v>3.86243275</v>
      </c>
      <c r="K28" s="19">
        <v>2.24054654</v>
      </c>
      <c r="L28" s="19">
        <v>3.1201839730000001</v>
      </c>
      <c r="M28" s="19">
        <v>0.55345655000000005</v>
      </c>
      <c r="N28" s="19">
        <v>0.98373648999999996</v>
      </c>
      <c r="O28" s="19">
        <v>0.71001738999999997</v>
      </c>
      <c r="P28" s="19">
        <v>1.0584427190000001</v>
      </c>
      <c r="Q28" s="19">
        <v>0.84625994400000004</v>
      </c>
      <c r="R28" s="19">
        <v>1.9995269499999999</v>
      </c>
      <c r="S28" s="19">
        <v>3.93770043</v>
      </c>
      <c r="T28" s="19">
        <v>3.2880662799999998</v>
      </c>
      <c r="U28" s="19">
        <v>5.3299184999999998</v>
      </c>
      <c r="V28" s="19">
        <v>2.61244202</v>
      </c>
      <c r="W28" s="19" t="str">
        <f t="shared" si="5"/>
        <v>0.55346 - 5.32992</v>
      </c>
      <c r="X28" s="19">
        <f t="shared" si="6"/>
        <v>2.4188332782500002</v>
      </c>
      <c r="Y28">
        <f t="shared" si="7"/>
        <v>2.3761823538</v>
      </c>
      <c r="Z28">
        <f t="shared" si="8"/>
        <v>3.0352373045999999</v>
      </c>
      <c r="AA28">
        <f t="shared" si="9"/>
        <v>0.83038261860000007</v>
      </c>
      <c r="AB28">
        <f t="shared" si="10"/>
        <v>3.4335308360000001</v>
      </c>
    </row>
    <row r="29" spans="1:28" x14ac:dyDescent="0.2">
      <c r="A29" s="17" t="s">
        <v>160</v>
      </c>
      <c r="B29" s="19" t="s">
        <v>161</v>
      </c>
      <c r="C29" s="19">
        <v>8.3512509999999995</v>
      </c>
      <c r="D29" s="19">
        <v>8.0716845500000005</v>
      </c>
      <c r="E29" s="19">
        <v>7.8578851099999998</v>
      </c>
      <c r="F29" s="20">
        <v>4.2702010000000001</v>
      </c>
      <c r="G29" s="19">
        <v>7.5367351810000001</v>
      </c>
      <c r="H29" s="19">
        <v>8.0168605999999993</v>
      </c>
      <c r="I29" s="19">
        <v>8.5368913600000003</v>
      </c>
      <c r="J29" s="19">
        <v>8.90825171</v>
      </c>
      <c r="K29" s="19">
        <v>5.5932814400000002</v>
      </c>
      <c r="L29" s="19">
        <v>8.2524377050000002</v>
      </c>
      <c r="M29" s="19">
        <v>11.197259900000001</v>
      </c>
      <c r="N29" s="19">
        <v>10.08091509</v>
      </c>
      <c r="O29" s="19">
        <v>11.539231170000001</v>
      </c>
      <c r="P29" s="19">
        <v>10.181012505</v>
      </c>
      <c r="Q29" s="19">
        <v>11.717734295</v>
      </c>
      <c r="R29" s="19">
        <v>10.77906757</v>
      </c>
      <c r="S29" s="19">
        <v>11.72223316</v>
      </c>
      <c r="T29" s="19">
        <v>10.74530961</v>
      </c>
      <c r="U29" s="19">
        <v>9.7450572560000008</v>
      </c>
      <c r="V29" s="19">
        <v>9.8111919899999993</v>
      </c>
      <c r="W29" s="19" t="str">
        <f t="shared" si="5"/>
        <v>4.27020 - 11.72223</v>
      </c>
      <c r="X29" s="19">
        <f t="shared" si="6"/>
        <v>9.1457246101000003</v>
      </c>
      <c r="Y29">
        <f t="shared" si="7"/>
        <v>7.2175513681999988</v>
      </c>
      <c r="Z29">
        <f t="shared" si="8"/>
        <v>7.8615445629999998</v>
      </c>
      <c r="AA29">
        <f t="shared" si="9"/>
        <v>10.943230592000001</v>
      </c>
      <c r="AB29">
        <f t="shared" si="10"/>
        <v>10.560571917200001</v>
      </c>
    </row>
  </sheetData>
  <mergeCells count="5">
    <mergeCell ref="A7:A13"/>
    <mergeCell ref="A17:A18"/>
    <mergeCell ref="A20:A23"/>
    <mergeCell ref="A25:A27"/>
    <mergeCell ref="A4:A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75200-4060-E547-9F27-24E11AD8C1A6}">
  <dimension ref="A1:V95"/>
  <sheetViews>
    <sheetView workbookViewId="0">
      <selection activeCell="C36" sqref="C36"/>
    </sheetView>
  </sheetViews>
  <sheetFormatPr baseColWidth="10" defaultRowHeight="16" x14ac:dyDescent="0.2"/>
  <cols>
    <col min="2" max="2" width="44" customWidth="1"/>
    <col min="3" max="3" width="18" customWidth="1"/>
  </cols>
  <sheetData>
    <row r="1" spans="1:22" ht="19" x14ac:dyDescent="0.25">
      <c r="A1" s="13" t="s">
        <v>181</v>
      </c>
    </row>
    <row r="3" spans="1:22" x14ac:dyDescent="0.2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</row>
    <row r="4" spans="1:22" x14ac:dyDescent="0.2">
      <c r="A4" s="26" t="s">
        <v>162</v>
      </c>
      <c r="B4" s="26" t="s">
        <v>173</v>
      </c>
      <c r="C4" s="26" t="s">
        <v>68</v>
      </c>
      <c r="D4" s="26" t="s">
        <v>69</v>
      </c>
      <c r="E4" s="26" t="s">
        <v>70</v>
      </c>
      <c r="F4" s="26" t="s">
        <v>71</v>
      </c>
      <c r="G4" s="26" t="s">
        <v>72</v>
      </c>
      <c r="H4" s="26" t="s">
        <v>73</v>
      </c>
      <c r="I4" s="26" t="s">
        <v>74</v>
      </c>
      <c r="J4" s="26" t="s">
        <v>75</v>
      </c>
      <c r="K4" s="26" t="s">
        <v>76</v>
      </c>
      <c r="L4" s="26" t="s">
        <v>77</v>
      </c>
      <c r="M4" s="26" t="s">
        <v>78</v>
      </c>
      <c r="N4" s="26" t="s">
        <v>79</v>
      </c>
      <c r="O4" s="26" t="s">
        <v>80</v>
      </c>
      <c r="P4" s="26" t="s">
        <v>81</v>
      </c>
      <c r="Q4" s="26" t="s">
        <v>82</v>
      </c>
      <c r="R4" s="26" t="s">
        <v>83</v>
      </c>
      <c r="S4" s="26" t="s">
        <v>84</v>
      </c>
      <c r="T4" s="26" t="s">
        <v>85</v>
      </c>
      <c r="U4" s="26" t="s">
        <v>86</v>
      </c>
      <c r="V4" s="26" t="s">
        <v>87</v>
      </c>
    </row>
    <row r="5" spans="1:22" x14ac:dyDescent="0.2">
      <c r="A5" t="s">
        <v>159</v>
      </c>
      <c r="B5" t="s">
        <v>206</v>
      </c>
      <c r="C5">
        <v>0.13320160739362291</v>
      </c>
      <c r="D5">
        <v>0.1130479116456493</v>
      </c>
      <c r="E5">
        <v>6.3559372120150226E-2</v>
      </c>
      <c r="F5">
        <v>5.5797729081172073E-2</v>
      </c>
      <c r="G5">
        <v>0.155670288211469</v>
      </c>
      <c r="H5">
        <v>7.9621057712522966E-2</v>
      </c>
      <c r="I5">
        <v>0.1153435760678147</v>
      </c>
      <c r="J5">
        <v>8.4288308314973054E-2</v>
      </c>
      <c r="K5">
        <v>8.2848883601885637E-2</v>
      </c>
      <c r="L5">
        <v>0.21018303351419521</v>
      </c>
      <c r="M5">
        <v>2.0149213366055071E-2</v>
      </c>
      <c r="N5">
        <v>1.6602371340949301E-2</v>
      </c>
      <c r="O5">
        <v>8.183060409581433E-2</v>
      </c>
      <c r="P5">
        <v>2.7507704184722131E-2</v>
      </c>
      <c r="Q5">
        <v>7.3381031003485672E-4</v>
      </c>
      <c r="R5">
        <v>1.0277257258558821</v>
      </c>
      <c r="S5">
        <v>2.233166374766244</v>
      </c>
      <c r="T5">
        <v>1.6140185121327451</v>
      </c>
      <c r="U5">
        <v>2.112741263454939</v>
      </c>
      <c r="V5">
        <v>1.3199501322522269</v>
      </c>
    </row>
    <row r="6" spans="1:22" x14ac:dyDescent="0.2">
      <c r="A6" t="s">
        <v>159</v>
      </c>
      <c r="B6" t="s">
        <v>174</v>
      </c>
      <c r="C6">
        <v>0.3352254369488501</v>
      </c>
      <c r="D6">
        <v>0.19009800720222811</v>
      </c>
      <c r="E6">
        <v>0.33183338745019703</v>
      </c>
      <c r="F6">
        <v>0.141504323406514</v>
      </c>
      <c r="G6">
        <v>0.28836571255791987</v>
      </c>
      <c r="H6">
        <v>0.2708634105746075</v>
      </c>
      <c r="I6">
        <v>0.27612222551863541</v>
      </c>
      <c r="J6">
        <v>0.33875010111526882</v>
      </c>
      <c r="K6">
        <v>0.23570810421094371</v>
      </c>
      <c r="L6">
        <v>0.32210115253982607</v>
      </c>
      <c r="M6">
        <v>4.0372820645525567E-2</v>
      </c>
      <c r="N6">
        <v>6.7903941437565734E-3</v>
      </c>
      <c r="O6">
        <v>3.4315873250755649E-2</v>
      </c>
      <c r="P6">
        <v>1.297420259898289E-2</v>
      </c>
      <c r="Q6">
        <v>1.6989089512800471E-2</v>
      </c>
      <c r="R6">
        <v>0.27654074108028648</v>
      </c>
      <c r="S6">
        <v>0.52984774367743315</v>
      </c>
      <c r="T6">
        <v>0.42307095626373559</v>
      </c>
      <c r="U6">
        <v>1.023908003655553</v>
      </c>
      <c r="V6">
        <v>0.1879646438394966</v>
      </c>
    </row>
    <row r="7" spans="1:22" x14ac:dyDescent="0.2">
      <c r="A7" t="s">
        <v>159</v>
      </c>
      <c r="B7" t="s">
        <v>175</v>
      </c>
      <c r="C7">
        <v>0.6246308277888527</v>
      </c>
      <c r="D7">
        <v>0.36754417639238501</v>
      </c>
      <c r="E7">
        <v>0.30186670053421238</v>
      </c>
      <c r="F7">
        <v>0.12845646875677641</v>
      </c>
      <c r="G7">
        <v>0.41961163398924861</v>
      </c>
      <c r="H7">
        <v>0.5719034803646128</v>
      </c>
      <c r="I7">
        <v>0.42471359981304341</v>
      </c>
      <c r="J7">
        <v>0.6140751962463511</v>
      </c>
      <c r="K7">
        <v>0.38433532510611418</v>
      </c>
      <c r="L7">
        <v>0.36860197896954339</v>
      </c>
      <c r="M7">
        <v>1.381360676940077E-2</v>
      </c>
      <c r="N7">
        <v>1.7617167971227529E-2</v>
      </c>
      <c r="O7">
        <v>5.3837762842392674E-3</v>
      </c>
      <c r="P7">
        <v>2.628975604892847E-2</v>
      </c>
      <c r="Q7">
        <v>4.1453101296764E-3</v>
      </c>
      <c r="R7">
        <v>0</v>
      </c>
      <c r="S7">
        <v>1.4130068988726241E-2</v>
      </c>
      <c r="T7">
        <v>3.7794445294827998E-2</v>
      </c>
      <c r="U7">
        <v>0</v>
      </c>
      <c r="V7">
        <v>4.8740752610634672E-4</v>
      </c>
    </row>
    <row r="8" spans="1:22" x14ac:dyDescent="0.2">
      <c r="A8" t="s">
        <v>159</v>
      </c>
      <c r="B8" t="s">
        <v>207</v>
      </c>
      <c r="C8">
        <v>1.331469603839109</v>
      </c>
      <c r="D8">
        <v>1.067706300395723</v>
      </c>
      <c r="E8">
        <v>1.431070799746583</v>
      </c>
      <c r="F8">
        <v>0.73025496274152002</v>
      </c>
      <c r="G8">
        <v>1.0465096796194411</v>
      </c>
      <c r="H8">
        <v>1.462593466213401</v>
      </c>
      <c r="I8">
        <v>1.584434641275861</v>
      </c>
      <c r="J8">
        <v>1.944196880134144</v>
      </c>
      <c r="K8">
        <v>1.0693864809271769</v>
      </c>
      <c r="L8">
        <v>1.520401273193261</v>
      </c>
      <c r="M8">
        <v>0.17615544106776049</v>
      </c>
      <c r="N8">
        <v>0.56578353748133625</v>
      </c>
      <c r="O8">
        <v>0.35922408642965081</v>
      </c>
      <c r="P8">
        <v>0.47831639492741368</v>
      </c>
      <c r="Q8">
        <v>0.41066906463911562</v>
      </c>
      <c r="R8">
        <v>0.57364876168823786</v>
      </c>
      <c r="S8">
        <v>1.090675019776352</v>
      </c>
      <c r="T8">
        <v>1.076423364480896</v>
      </c>
      <c r="U8">
        <v>2.0806408858857171</v>
      </c>
      <c r="V8">
        <v>0.9930383970423029</v>
      </c>
    </row>
    <row r="9" spans="1:22" x14ac:dyDescent="0.2">
      <c r="A9" t="s">
        <v>159</v>
      </c>
      <c r="B9" t="s">
        <v>176</v>
      </c>
      <c r="C9">
        <v>0.41601830417794539</v>
      </c>
      <c r="D9">
        <v>0.8029009269028472</v>
      </c>
      <c r="E9">
        <v>0.61417971041000063</v>
      </c>
      <c r="F9">
        <v>0.33747826770600631</v>
      </c>
      <c r="G9">
        <v>0.45290936463416981</v>
      </c>
      <c r="H9">
        <v>0.44078746102628602</v>
      </c>
      <c r="I9">
        <v>0.72664031580145105</v>
      </c>
      <c r="J9">
        <v>0.88112226533726989</v>
      </c>
      <c r="K9">
        <v>0.46826775003770887</v>
      </c>
      <c r="L9">
        <v>0.6988965350350419</v>
      </c>
      <c r="M9">
        <v>0.30296546833756138</v>
      </c>
      <c r="N9">
        <v>0.37694301485529941</v>
      </c>
      <c r="O9">
        <v>0.22926304708162629</v>
      </c>
      <c r="P9">
        <v>0.51335466149979792</v>
      </c>
      <c r="Q9">
        <v>0.41372266984490907</v>
      </c>
      <c r="R9">
        <v>0.1216117220536773</v>
      </c>
      <c r="S9">
        <v>6.9881225579120826E-2</v>
      </c>
      <c r="T9">
        <v>0.1367590044194836</v>
      </c>
      <c r="U9">
        <v>0.11262834669196289</v>
      </c>
      <c r="V9">
        <v>0.1110014430614546</v>
      </c>
    </row>
    <row r="10" spans="1:22" x14ac:dyDescent="0.2">
      <c r="A10" t="s">
        <v>148</v>
      </c>
      <c r="B10" t="s">
        <v>175</v>
      </c>
      <c r="C10">
        <v>2.0772313884685301</v>
      </c>
      <c r="D10">
        <v>1.8746518547822979</v>
      </c>
      <c r="E10">
        <v>2.0527238717724958</v>
      </c>
      <c r="F10">
        <v>1.2965858258122711</v>
      </c>
      <c r="G10">
        <v>1.789927297267855</v>
      </c>
      <c r="H10">
        <v>1.9010120094171159</v>
      </c>
      <c r="I10">
        <v>1.768920223036667</v>
      </c>
      <c r="J10">
        <v>1.9654664447302519</v>
      </c>
      <c r="K10">
        <v>1.2512351847652601</v>
      </c>
      <c r="L10">
        <v>1.8023317468557649</v>
      </c>
      <c r="M10">
        <v>0.55437721914299032</v>
      </c>
      <c r="N10">
        <v>0.59336839619241999</v>
      </c>
      <c r="O10">
        <v>0.64193729740109262</v>
      </c>
      <c r="P10">
        <v>0.77453119512241764</v>
      </c>
      <c r="Q10">
        <v>0.75309192064243224</v>
      </c>
      <c r="R10">
        <v>0.3326229691198247</v>
      </c>
      <c r="S10">
        <v>0.51946911720440447</v>
      </c>
      <c r="T10">
        <v>0.71891097652497782</v>
      </c>
      <c r="U10">
        <v>0.54050973604496666</v>
      </c>
      <c r="V10">
        <v>0.49327261137406508</v>
      </c>
    </row>
    <row r="11" spans="1:22" x14ac:dyDescent="0.2">
      <c r="A11" t="s">
        <v>148</v>
      </c>
      <c r="B11" t="s">
        <v>207</v>
      </c>
      <c r="C11">
        <v>1.1410618021397601</v>
      </c>
      <c r="D11">
        <v>1.2015444144470091</v>
      </c>
      <c r="E11">
        <v>1.2451301352499939</v>
      </c>
      <c r="F11">
        <v>0.97984473582165543</v>
      </c>
      <c r="G11">
        <v>0.9864970290769044</v>
      </c>
      <c r="H11">
        <v>1.0456288649453129</v>
      </c>
      <c r="I11">
        <v>1.0992950510714199</v>
      </c>
      <c r="J11">
        <v>0.84204325304978078</v>
      </c>
      <c r="K11">
        <v>0.61636033686972735</v>
      </c>
      <c r="L11">
        <v>1.0244831548770701</v>
      </c>
      <c r="M11">
        <v>0.12501567009032469</v>
      </c>
      <c r="N11">
        <v>0.15911105514732041</v>
      </c>
      <c r="O11">
        <v>9.3987209625414764E-2</v>
      </c>
      <c r="P11">
        <v>0.17574784823703629</v>
      </c>
      <c r="Q11">
        <v>0.17976847153105249</v>
      </c>
      <c r="R11">
        <v>0.1766770817408792</v>
      </c>
      <c r="S11">
        <v>0.16825550958009691</v>
      </c>
      <c r="T11">
        <v>0.22280186550503711</v>
      </c>
      <c r="U11">
        <v>0.57475520862838869</v>
      </c>
      <c r="V11">
        <v>0.1219634376722475</v>
      </c>
    </row>
    <row r="12" spans="1:22" x14ac:dyDescent="0.2">
      <c r="A12" t="s">
        <v>148</v>
      </c>
      <c r="B12" t="s">
        <v>208</v>
      </c>
      <c r="C12">
        <v>0.48644017368684411</v>
      </c>
      <c r="D12">
        <v>0.35905322141959162</v>
      </c>
      <c r="E12">
        <v>0.48987846176981609</v>
      </c>
      <c r="F12">
        <v>0.2058248064990692</v>
      </c>
      <c r="G12">
        <v>0.28197435602866572</v>
      </c>
      <c r="H12">
        <v>0.44006588073023079</v>
      </c>
      <c r="I12">
        <v>0.36045282569750159</v>
      </c>
      <c r="J12">
        <v>0.45725083309145209</v>
      </c>
      <c r="K12">
        <v>0.26050327844790588</v>
      </c>
      <c r="L12">
        <v>0.46140378700436779</v>
      </c>
      <c r="M12">
        <v>0</v>
      </c>
      <c r="N12">
        <v>7.7018154862495674E-3</v>
      </c>
      <c r="O12">
        <v>3.7070276238322999E-3</v>
      </c>
      <c r="P12">
        <v>0</v>
      </c>
      <c r="Q12">
        <v>5.044527820445034E-3</v>
      </c>
      <c r="R12">
        <v>0</v>
      </c>
      <c r="S12">
        <v>5.0563688372875669E-3</v>
      </c>
      <c r="T12">
        <v>2.8212323758014871E-2</v>
      </c>
      <c r="U12">
        <v>6.6888143214081002E-3</v>
      </c>
      <c r="V12">
        <v>8.0255321421894669E-3</v>
      </c>
    </row>
    <row r="13" spans="1:22" x14ac:dyDescent="0.2">
      <c r="A13" t="s">
        <v>148</v>
      </c>
      <c r="B13" t="s">
        <v>209</v>
      </c>
      <c r="C13">
        <v>0.63173181749938567</v>
      </c>
      <c r="D13">
        <v>0.57959392341539495</v>
      </c>
      <c r="E13">
        <v>0.44371749983869269</v>
      </c>
      <c r="F13">
        <v>0.24106544281466161</v>
      </c>
      <c r="G13">
        <v>0.44172178201377749</v>
      </c>
      <c r="H13">
        <v>0.63457758648144524</v>
      </c>
      <c r="I13">
        <v>0.67212633785646869</v>
      </c>
      <c r="J13">
        <v>0.43423442358129372</v>
      </c>
      <c r="K13">
        <v>0.31584138088576741</v>
      </c>
      <c r="L13">
        <v>0.69824737732857156</v>
      </c>
      <c r="M13">
        <v>0</v>
      </c>
      <c r="N13">
        <v>3.5757845908175671E-4</v>
      </c>
      <c r="O13">
        <v>0</v>
      </c>
      <c r="P13">
        <v>0</v>
      </c>
      <c r="Q13">
        <v>0</v>
      </c>
      <c r="R13">
        <v>4.5619005863788163E-2</v>
      </c>
      <c r="S13">
        <v>1.1951034830893501E-2</v>
      </c>
      <c r="T13">
        <v>0.13823134718416261</v>
      </c>
      <c r="U13">
        <v>0.1374920870368383</v>
      </c>
      <c r="V13">
        <v>1.446681307894933E-2</v>
      </c>
    </row>
    <row r="14" spans="1:22" x14ac:dyDescent="0.2">
      <c r="A14" t="s">
        <v>148</v>
      </c>
      <c r="B14" t="s">
        <v>210</v>
      </c>
      <c r="C14">
        <v>2.840585110871868</v>
      </c>
      <c r="D14">
        <v>2.6314598638292099</v>
      </c>
      <c r="E14">
        <v>2.5400353987518538</v>
      </c>
      <c r="F14">
        <v>1.609171161274167</v>
      </c>
      <c r="G14">
        <v>2.294742379116431</v>
      </c>
      <c r="H14">
        <v>2.098707724555779</v>
      </c>
      <c r="I14">
        <v>2.5635652899688139</v>
      </c>
      <c r="J14">
        <v>2.1312561139937198</v>
      </c>
      <c r="K14">
        <v>1.33848209055576</v>
      </c>
      <c r="L14">
        <v>2.048124869741923</v>
      </c>
      <c r="M14">
        <v>1.9685330634215481</v>
      </c>
      <c r="N14">
        <v>2.1228235138051499</v>
      </c>
      <c r="O14">
        <v>2.180851666457809</v>
      </c>
      <c r="P14">
        <v>1.7980460393947191</v>
      </c>
      <c r="Q14">
        <v>2.9759173706328861</v>
      </c>
      <c r="R14">
        <v>0.2377787959394283</v>
      </c>
      <c r="S14">
        <v>0.2089440981620958</v>
      </c>
      <c r="T14">
        <v>0.29200960284184613</v>
      </c>
      <c r="U14">
        <v>0.2933054931165619</v>
      </c>
      <c r="V14">
        <v>0.21394690465778721</v>
      </c>
    </row>
    <row r="15" spans="1:22" x14ac:dyDescent="0.2">
      <c r="A15" t="s">
        <v>194</v>
      </c>
      <c r="B15" t="s">
        <v>211</v>
      </c>
      <c r="C15">
        <v>11.06140209786347</v>
      </c>
      <c r="D15">
        <v>10.22175262855297</v>
      </c>
      <c r="E15">
        <v>11.526178183787181</v>
      </c>
      <c r="F15">
        <v>7.7947971101375488</v>
      </c>
      <c r="G15">
        <v>9.8360033020046309</v>
      </c>
      <c r="H15">
        <v>11.41891162973047</v>
      </c>
      <c r="I15">
        <v>11.432556802935551</v>
      </c>
      <c r="J15">
        <v>10.439162109277991</v>
      </c>
      <c r="K15">
        <v>7.0811395603611249</v>
      </c>
      <c r="L15">
        <v>11.95310112035896</v>
      </c>
      <c r="M15">
        <v>7.2395218580588372</v>
      </c>
      <c r="N15">
        <v>6.4228963233162037</v>
      </c>
      <c r="O15">
        <v>6.1306654871338164</v>
      </c>
      <c r="P15">
        <v>7.3247143892405751</v>
      </c>
      <c r="Q15">
        <v>6.2331683701181859</v>
      </c>
      <c r="R15">
        <v>11.160055330062329</v>
      </c>
      <c r="S15">
        <v>12.370521580753641</v>
      </c>
      <c r="T15">
        <v>10.58875424739521</v>
      </c>
      <c r="U15">
        <v>6.6793376465454406</v>
      </c>
      <c r="V15">
        <v>11.050409051874579</v>
      </c>
    </row>
    <row r="16" spans="1:22" x14ac:dyDescent="0.2">
      <c r="A16" t="s">
        <v>194</v>
      </c>
      <c r="B16" t="s">
        <v>212</v>
      </c>
      <c r="C16">
        <v>2.4048913592550241</v>
      </c>
      <c r="D16">
        <v>2.1663078548658019</v>
      </c>
      <c r="E16">
        <v>2.188816093990138</v>
      </c>
      <c r="F16">
        <v>1.1334861549127111</v>
      </c>
      <c r="G16">
        <v>1.8036573406934</v>
      </c>
      <c r="H16">
        <v>3.7382938903838512</v>
      </c>
      <c r="I16">
        <v>3.2790067150871929</v>
      </c>
      <c r="J16">
        <v>2.982947886599415</v>
      </c>
      <c r="K16">
        <v>1.9036365324412321</v>
      </c>
      <c r="L16">
        <v>2.5105722545508078</v>
      </c>
      <c r="M16">
        <v>0.85461283401406019</v>
      </c>
      <c r="N16">
        <v>0.68949082681789675</v>
      </c>
      <c r="O16">
        <v>0.57635100302944287</v>
      </c>
      <c r="P16">
        <v>0.827533649346058</v>
      </c>
      <c r="Q16">
        <v>0.76798638336662561</v>
      </c>
      <c r="R16">
        <v>0.11117170268119329</v>
      </c>
      <c r="S16">
        <v>0.19000227086038679</v>
      </c>
      <c r="T16">
        <v>0.46617408274816841</v>
      </c>
      <c r="U16">
        <v>0.50201477480707601</v>
      </c>
      <c r="V16">
        <v>0.20651093479714711</v>
      </c>
    </row>
    <row r="17" spans="1:22" x14ac:dyDescent="0.2">
      <c r="A17" t="s">
        <v>194</v>
      </c>
      <c r="B17" t="s">
        <v>207</v>
      </c>
      <c r="C17">
        <v>23.14664983512635</v>
      </c>
      <c r="D17">
        <v>21.820805349870309</v>
      </c>
      <c r="E17">
        <v>22.309432547191101</v>
      </c>
      <c r="F17">
        <v>14.601640406001049</v>
      </c>
      <c r="G17">
        <v>20.241473000721498</v>
      </c>
      <c r="H17">
        <v>21.356950562077319</v>
      </c>
      <c r="I17">
        <v>23.326135362977091</v>
      </c>
      <c r="J17">
        <v>23.201766385245811</v>
      </c>
      <c r="K17">
        <v>16.110233554612179</v>
      </c>
      <c r="L17">
        <v>23.34765729382757</v>
      </c>
      <c r="M17">
        <v>23.396621093680761</v>
      </c>
      <c r="N17">
        <v>23.26688867588728</v>
      </c>
      <c r="O17">
        <v>24.975251245761449</v>
      </c>
      <c r="P17">
        <v>22.989682382207739</v>
      </c>
      <c r="Q17">
        <v>23.849036456134289</v>
      </c>
      <c r="R17">
        <v>19.967933874356419</v>
      </c>
      <c r="S17">
        <v>20.49466801544952</v>
      </c>
      <c r="T17">
        <v>20.882203848482501</v>
      </c>
      <c r="U17">
        <v>25.539040154337339</v>
      </c>
      <c r="V17">
        <v>19.256827920326099</v>
      </c>
    </row>
    <row r="18" spans="1:22" x14ac:dyDescent="0.2">
      <c r="A18" t="s">
        <v>194</v>
      </c>
      <c r="B18" t="s">
        <v>213</v>
      </c>
      <c r="C18">
        <v>0.42477944561593961</v>
      </c>
      <c r="D18">
        <v>0.56942520730555479</v>
      </c>
      <c r="E18">
        <v>0.72999164871150868</v>
      </c>
      <c r="F18">
        <v>0.63342034656485025</v>
      </c>
      <c r="G18">
        <v>0.66921956331435406</v>
      </c>
      <c r="H18">
        <v>0.199808636029846</v>
      </c>
      <c r="I18">
        <v>0.18592387623354181</v>
      </c>
      <c r="J18">
        <v>0.34128591103356581</v>
      </c>
      <c r="K18">
        <v>0.19812295563840629</v>
      </c>
      <c r="L18">
        <v>0.17275772129747249</v>
      </c>
      <c r="M18">
        <v>3.4974481339931049</v>
      </c>
      <c r="N18">
        <v>4.2639028518069484</v>
      </c>
      <c r="O18">
        <v>3.269087398152517</v>
      </c>
      <c r="P18">
        <v>3.3843556364196821</v>
      </c>
      <c r="Q18">
        <v>3.5542395006746652</v>
      </c>
      <c r="R18">
        <v>1.5907605824078941</v>
      </c>
      <c r="S18">
        <v>1.3290161926631621</v>
      </c>
      <c r="T18">
        <v>1.2324793491496671</v>
      </c>
      <c r="U18">
        <v>0.7891937071355406</v>
      </c>
      <c r="V18">
        <v>2.4576406473340731</v>
      </c>
    </row>
    <row r="19" spans="1:22" x14ac:dyDescent="0.2">
      <c r="A19" t="s">
        <v>194</v>
      </c>
      <c r="B19" t="s">
        <v>176</v>
      </c>
      <c r="C19">
        <v>0.76378625642600284</v>
      </c>
      <c r="D19">
        <v>1.46426469951216</v>
      </c>
      <c r="E19">
        <v>1.538396822728795</v>
      </c>
      <c r="F19">
        <v>0.98692236158687419</v>
      </c>
      <c r="G19">
        <v>1.509612355535638</v>
      </c>
      <c r="H19">
        <v>1.0087746331465191</v>
      </c>
      <c r="I19">
        <v>1.93532263071969</v>
      </c>
      <c r="J19">
        <v>2.16228024632581</v>
      </c>
      <c r="K19">
        <v>1.143959309743358</v>
      </c>
      <c r="L19">
        <v>1.7315652869348139</v>
      </c>
      <c r="M19">
        <v>0.86465537750470056</v>
      </c>
      <c r="N19">
        <v>2.4529822234938621</v>
      </c>
      <c r="O19">
        <v>1.916768612712612</v>
      </c>
      <c r="P19">
        <v>2.8047207221993502</v>
      </c>
      <c r="Q19">
        <v>2.4842237694440898</v>
      </c>
      <c r="R19">
        <v>0.41308740494575769</v>
      </c>
      <c r="S19">
        <v>0.72487029671393577</v>
      </c>
      <c r="T19">
        <v>0.53236318970292607</v>
      </c>
      <c r="U19">
        <v>0.64595480790668403</v>
      </c>
      <c r="V19">
        <v>0.79435842261211609</v>
      </c>
    </row>
    <row r="20" spans="1:22" x14ac:dyDescent="0.2">
      <c r="A20" t="s">
        <v>139</v>
      </c>
      <c r="B20" t="s">
        <v>179</v>
      </c>
      <c r="C20">
        <v>0.1056465207307805</v>
      </c>
      <c r="D20">
        <v>0.11327866271362209</v>
      </c>
      <c r="E20">
        <v>0.1146809807220668</v>
      </c>
      <c r="F20">
        <v>4.0090455076161921E-2</v>
      </c>
      <c r="G20">
        <v>0.1034190287110853</v>
      </c>
      <c r="H20">
        <v>7.4820007955654841E-2</v>
      </c>
      <c r="I20">
        <v>0.14229943638380169</v>
      </c>
      <c r="J20">
        <v>0.10924743198223411</v>
      </c>
      <c r="K20">
        <v>5.1757904191585241E-2</v>
      </c>
      <c r="L20">
        <v>9.4369034863501761E-2</v>
      </c>
      <c r="M20">
        <v>3.9362667077407669E-3</v>
      </c>
      <c r="N20">
        <v>1.3143865733370569E-3</v>
      </c>
      <c r="O20">
        <v>0</v>
      </c>
      <c r="P20">
        <v>2.1169614634120701E-3</v>
      </c>
      <c r="Q20">
        <v>0</v>
      </c>
      <c r="R20">
        <v>4.5297500478296672E-3</v>
      </c>
      <c r="S20">
        <v>1.524889758241923E-2</v>
      </c>
      <c r="T20">
        <v>5.5685257241677331E-3</v>
      </c>
      <c r="U20">
        <v>4.7003456651719009E-3</v>
      </c>
      <c r="V20">
        <v>5.1088932332257796E-3</v>
      </c>
    </row>
    <row r="21" spans="1:22" x14ac:dyDescent="0.2">
      <c r="A21" t="s">
        <v>139</v>
      </c>
      <c r="B21" t="s">
        <v>211</v>
      </c>
      <c r="C21">
        <v>0.20060638186007351</v>
      </c>
      <c r="D21">
        <v>0.19186229967599</v>
      </c>
      <c r="E21">
        <v>0.21938737293851951</v>
      </c>
      <c r="F21">
        <v>0.17276661599484941</v>
      </c>
      <c r="G21">
        <v>0.21732192718363999</v>
      </c>
      <c r="H21">
        <v>0.10254276375015089</v>
      </c>
      <c r="I21">
        <v>0.2394851284915312</v>
      </c>
      <c r="J21">
        <v>0.14528964173186401</v>
      </c>
      <c r="K21">
        <v>0.1216103548459305</v>
      </c>
      <c r="L21">
        <v>0.15743818383449751</v>
      </c>
      <c r="M21">
        <v>9.239224775498333E-3</v>
      </c>
      <c r="N21">
        <v>1.302528855515636E-2</v>
      </c>
      <c r="O21">
        <v>0</v>
      </c>
      <c r="P21">
        <v>1.600977308330442E-2</v>
      </c>
      <c r="Q21">
        <v>2.4509186748252029E-3</v>
      </c>
      <c r="R21">
        <v>0</v>
      </c>
      <c r="S21">
        <v>8.8444061803886628E-2</v>
      </c>
      <c r="T21">
        <v>2.8933990362238319E-2</v>
      </c>
      <c r="U21">
        <v>4.4124091451712994E-3</v>
      </c>
      <c r="V21">
        <v>1.723360734682397E-2</v>
      </c>
    </row>
    <row r="22" spans="1:22" x14ac:dyDescent="0.2">
      <c r="A22" t="s">
        <v>140</v>
      </c>
      <c r="B22" t="s">
        <v>206</v>
      </c>
      <c r="C22">
        <v>0.71283561383747096</v>
      </c>
      <c r="D22">
        <v>0.67551917969458264</v>
      </c>
      <c r="E22">
        <v>1.0834263225341101</v>
      </c>
      <c r="F22">
        <v>0.46757895600045762</v>
      </c>
      <c r="G22">
        <v>0.68008040441405426</v>
      </c>
      <c r="H22">
        <v>0.47543923968918161</v>
      </c>
      <c r="I22">
        <v>1.0400865972058579</v>
      </c>
      <c r="J22">
        <v>1.157386849420305</v>
      </c>
      <c r="K22">
        <v>0.64182958630849962</v>
      </c>
      <c r="L22">
        <v>1.040026742838017</v>
      </c>
      <c r="M22">
        <v>0.12560940068050289</v>
      </c>
      <c r="N22">
        <v>4.0692186129094837E-2</v>
      </c>
      <c r="O22">
        <v>6.9306461170617797E-2</v>
      </c>
      <c r="P22">
        <v>4.200911874780397E-2</v>
      </c>
      <c r="Q22">
        <v>9.5661281915787738E-2</v>
      </c>
      <c r="R22">
        <v>1.610933541375416</v>
      </c>
      <c r="S22">
        <v>2.0355297427073751</v>
      </c>
      <c r="T22">
        <v>1.7042008627403109</v>
      </c>
      <c r="U22">
        <v>2.97803257452754</v>
      </c>
      <c r="V22">
        <v>0.9312745662755153</v>
      </c>
    </row>
    <row r="23" spans="1:22" x14ac:dyDescent="0.2">
      <c r="A23" t="s">
        <v>140</v>
      </c>
      <c r="B23" t="s">
        <v>212</v>
      </c>
      <c r="C23">
        <v>2.7931710620057988</v>
      </c>
      <c r="D23">
        <v>2.5404099858566731</v>
      </c>
      <c r="E23">
        <v>2.3302545422254251</v>
      </c>
      <c r="F23">
        <v>0.95291584886897462</v>
      </c>
      <c r="G23">
        <v>1.8534523030698611</v>
      </c>
      <c r="H23">
        <v>3.2974688974859969</v>
      </c>
      <c r="I23">
        <v>3.235366855141887</v>
      </c>
      <c r="J23">
        <v>3.6023340288538019</v>
      </c>
      <c r="K23">
        <v>2.480709119816991</v>
      </c>
      <c r="L23">
        <v>4.4395153621965626</v>
      </c>
      <c r="M23">
        <v>0.67552861255267205</v>
      </c>
      <c r="N23">
        <v>0.56818397147243127</v>
      </c>
      <c r="O23">
        <v>0.47114477271257538</v>
      </c>
      <c r="P23">
        <v>0.74674264428257608</v>
      </c>
      <c r="Q23">
        <v>0.51899234725701626</v>
      </c>
      <c r="R23">
        <v>0.2287484702745145</v>
      </c>
      <c r="S23">
        <v>0.1041487379787594</v>
      </c>
      <c r="T23">
        <v>0.18589185027293731</v>
      </c>
      <c r="U23">
        <v>0.2253570946764647</v>
      </c>
      <c r="V23">
        <v>0.19722677670815611</v>
      </c>
    </row>
    <row r="24" spans="1:22" x14ac:dyDescent="0.2">
      <c r="A24" t="s">
        <v>140</v>
      </c>
      <c r="B24" t="s">
        <v>180</v>
      </c>
      <c r="C24">
        <v>0.18984938337038251</v>
      </c>
      <c r="D24">
        <v>0.16485543262187119</v>
      </c>
      <c r="E24">
        <v>0.2032247579822678</v>
      </c>
      <c r="F24">
        <v>7.342691202673729E-2</v>
      </c>
      <c r="G24">
        <v>8.832137809480603E-2</v>
      </c>
      <c r="H24">
        <v>0.36108147295562709</v>
      </c>
      <c r="I24">
        <v>0.26072109783510139</v>
      </c>
      <c r="J24">
        <v>0.21427951133054901</v>
      </c>
      <c r="K24">
        <v>0.28631693647664352</v>
      </c>
      <c r="L24">
        <v>0.19091250190769901</v>
      </c>
      <c r="M24">
        <v>0</v>
      </c>
      <c r="N24">
        <v>0</v>
      </c>
      <c r="O24">
        <v>6.8319796440394626E-2</v>
      </c>
      <c r="P24">
        <v>6.16154125313599E-3</v>
      </c>
      <c r="Q24">
        <v>0</v>
      </c>
      <c r="R24">
        <v>0.30713121632392099</v>
      </c>
      <c r="S24">
        <v>0.48103086195892808</v>
      </c>
      <c r="T24">
        <v>0.30282905057112691</v>
      </c>
      <c r="U24">
        <v>0.41088020651032081</v>
      </c>
      <c r="V24">
        <v>0.15617266866330451</v>
      </c>
    </row>
    <row r="25" spans="1:22" x14ac:dyDescent="0.2">
      <c r="A25" t="s">
        <v>141</v>
      </c>
      <c r="B25" t="s">
        <v>214</v>
      </c>
      <c r="C25">
        <v>0.1972342004151949</v>
      </c>
      <c r="D25">
        <v>0.2717358890671826</v>
      </c>
      <c r="E25">
        <v>0.14183734076792889</v>
      </c>
      <c r="F25">
        <v>9.5807431681036503E-2</v>
      </c>
      <c r="G25">
        <v>0.1523576143675342</v>
      </c>
      <c r="H25">
        <v>0.1222266238189315</v>
      </c>
      <c r="I25">
        <v>0.23696664930038999</v>
      </c>
      <c r="J25">
        <v>0.1127856548054389</v>
      </c>
      <c r="K25">
        <v>0.1736452862068994</v>
      </c>
      <c r="L25">
        <v>0.22220516812727051</v>
      </c>
      <c r="M25">
        <v>2.0676299303497469E-2</v>
      </c>
      <c r="N25">
        <v>6.5878265614880693E-2</v>
      </c>
      <c r="O25">
        <v>4.8513499711819501E-2</v>
      </c>
      <c r="P25">
        <v>7.4914969693226238E-2</v>
      </c>
      <c r="Q25">
        <v>8.738119588544653E-2</v>
      </c>
      <c r="R25">
        <v>3.874202370100267E-3</v>
      </c>
      <c r="S25">
        <v>0.1168675601235772</v>
      </c>
      <c r="T25">
        <v>0.13550932046044481</v>
      </c>
      <c r="U25">
        <v>0.1974920549150298</v>
      </c>
      <c r="V25">
        <v>9.0838669782560735E-2</v>
      </c>
    </row>
    <row r="26" spans="1:22" x14ac:dyDescent="0.2">
      <c r="A26" t="s">
        <v>141</v>
      </c>
      <c r="B26" t="s">
        <v>206</v>
      </c>
      <c r="C26">
        <v>0.1374637764533595</v>
      </c>
      <c r="D26">
        <v>0.14911008226809289</v>
      </c>
      <c r="E26">
        <v>0.23349993559911089</v>
      </c>
      <c r="F26">
        <v>0.18283737936639821</v>
      </c>
      <c r="G26">
        <v>0.26679758565280459</v>
      </c>
      <c r="H26">
        <v>0.27645889508233512</v>
      </c>
      <c r="I26">
        <v>0.54650568512315634</v>
      </c>
      <c r="J26">
        <v>0.27269914569951709</v>
      </c>
      <c r="K26">
        <v>0.57748171189442632</v>
      </c>
      <c r="L26">
        <v>0.32953391025279932</v>
      </c>
      <c r="M26">
        <v>6.7166034778394196E-2</v>
      </c>
      <c r="N26">
        <v>2.7322755461836729E-2</v>
      </c>
      <c r="O26">
        <v>6.5834150414652431E-2</v>
      </c>
      <c r="P26">
        <v>9.4344143799294886E-2</v>
      </c>
      <c r="Q26">
        <v>6.0040974332418819E-2</v>
      </c>
      <c r="R26">
        <v>1.2193180477928061</v>
      </c>
      <c r="S26">
        <v>2.3404347420392022</v>
      </c>
      <c r="T26">
        <v>1.7195758763185851</v>
      </c>
      <c r="U26">
        <v>4.8885556620666364</v>
      </c>
      <c r="V26">
        <v>1.5067479634867691</v>
      </c>
    </row>
    <row r="27" spans="1:22" x14ac:dyDescent="0.2">
      <c r="A27" t="s">
        <v>141</v>
      </c>
      <c r="B27" t="s">
        <v>174</v>
      </c>
      <c r="C27">
        <v>0.45535981139794829</v>
      </c>
      <c r="D27">
        <v>0.6262906688546882</v>
      </c>
      <c r="E27">
        <v>0.55796544377713375</v>
      </c>
      <c r="F27">
        <v>0.35204672653269381</v>
      </c>
      <c r="G27">
        <v>0.53106470273468021</v>
      </c>
      <c r="H27">
        <v>0.43816789128675498</v>
      </c>
      <c r="I27">
        <v>0.65639619724069376</v>
      </c>
      <c r="J27">
        <v>0.68845329731670224</v>
      </c>
      <c r="K27">
        <v>0.39206668397906491</v>
      </c>
      <c r="L27">
        <v>0.74354344248241233</v>
      </c>
      <c r="M27">
        <v>2.9460368888405471E-2</v>
      </c>
      <c r="N27">
        <v>2.1117505207404332E-2</v>
      </c>
      <c r="O27">
        <v>1.2547064057386721E-2</v>
      </c>
      <c r="P27">
        <v>8.9332928554526209E-2</v>
      </c>
      <c r="Q27">
        <v>1.459366928698763E-2</v>
      </c>
      <c r="R27">
        <v>7.0846017250032506E-2</v>
      </c>
      <c r="S27">
        <v>0.21300484318651419</v>
      </c>
      <c r="T27">
        <v>0.1414008592833986</v>
      </c>
      <c r="U27">
        <v>0.1408347849491505</v>
      </c>
      <c r="V27">
        <v>4.8656757310370599E-2</v>
      </c>
    </row>
    <row r="28" spans="1:22" x14ac:dyDescent="0.2">
      <c r="A28" t="s">
        <v>141</v>
      </c>
      <c r="B28" t="s">
        <v>175</v>
      </c>
      <c r="C28">
        <v>1.7638924905301321</v>
      </c>
      <c r="D28">
        <v>1.0770387898999141</v>
      </c>
      <c r="E28">
        <v>1.1928780820043201</v>
      </c>
      <c r="F28">
        <v>0.66857336138197598</v>
      </c>
      <c r="G28">
        <v>1.2533941794182339</v>
      </c>
      <c r="H28">
        <v>2.1760710879923981</v>
      </c>
      <c r="I28">
        <v>1.399110503069259</v>
      </c>
      <c r="J28">
        <v>1.8409709960799181</v>
      </c>
      <c r="K28">
        <v>1.6826757794608209</v>
      </c>
      <c r="L28">
        <v>1.2908236365594621</v>
      </c>
      <c r="M28">
        <v>4.6787056871730633E-2</v>
      </c>
      <c r="N28">
        <v>2.8617716812937691E-2</v>
      </c>
      <c r="O28">
        <v>3.6907314837333623E-2</v>
      </c>
      <c r="P28">
        <v>2.095877762542233E-2</v>
      </c>
      <c r="Q28">
        <v>7.9985473296759924E-2</v>
      </c>
      <c r="R28">
        <v>1.5929432123039631E-2</v>
      </c>
      <c r="S28">
        <v>3.7697845642972669E-3</v>
      </c>
      <c r="T28">
        <v>5.0234558023091673E-2</v>
      </c>
      <c r="U28">
        <v>0.2189374854962548</v>
      </c>
      <c r="V28">
        <v>1.2663863170116901E-2</v>
      </c>
    </row>
    <row r="29" spans="1:22" x14ac:dyDescent="0.2">
      <c r="A29" t="s">
        <v>141</v>
      </c>
      <c r="B29" t="s">
        <v>207</v>
      </c>
      <c r="C29">
        <v>0.9889097167560128</v>
      </c>
      <c r="D29">
        <v>0.98319803055776267</v>
      </c>
      <c r="E29">
        <v>0.85467472545963008</v>
      </c>
      <c r="F29">
        <v>0.6720949686519847</v>
      </c>
      <c r="G29">
        <v>0.79542188419713256</v>
      </c>
      <c r="H29">
        <v>0.74612573797310311</v>
      </c>
      <c r="I29">
        <v>1.1412018785587419</v>
      </c>
      <c r="J29">
        <v>0.88387414626137517</v>
      </c>
      <c r="K29">
        <v>0.49744614458071368</v>
      </c>
      <c r="L29">
        <v>0.84531501436303413</v>
      </c>
      <c r="M29">
        <v>3.2316874192617501E-2</v>
      </c>
      <c r="N29">
        <v>6.9801274301762126E-2</v>
      </c>
      <c r="O29">
        <v>0.1060560400021861</v>
      </c>
      <c r="P29">
        <v>7.1334947927907705E-2</v>
      </c>
      <c r="Q29">
        <v>6.9623060271003595E-2</v>
      </c>
      <c r="R29">
        <v>0.19320415093435711</v>
      </c>
      <c r="S29">
        <v>0.375620290215469</v>
      </c>
      <c r="T29">
        <v>0.31264587947474581</v>
      </c>
      <c r="U29">
        <v>0.66756416897456494</v>
      </c>
      <c r="V29">
        <v>0.32046504515603841</v>
      </c>
    </row>
    <row r="30" spans="1:22" x14ac:dyDescent="0.2">
      <c r="A30" t="s">
        <v>142</v>
      </c>
      <c r="B30" t="s">
        <v>206</v>
      </c>
      <c r="C30">
        <v>0</v>
      </c>
      <c r="D30">
        <v>0</v>
      </c>
      <c r="E30">
        <v>0</v>
      </c>
      <c r="F30">
        <v>7.0732378013382662E-3</v>
      </c>
      <c r="G30">
        <v>0</v>
      </c>
      <c r="H30">
        <v>0</v>
      </c>
      <c r="I30">
        <v>2.0554450280039001E-2</v>
      </c>
      <c r="J30">
        <v>2.25047830854181E-2</v>
      </c>
      <c r="K30">
        <v>4.1014354676918531E-2</v>
      </c>
      <c r="L30">
        <v>0</v>
      </c>
      <c r="M30">
        <v>0</v>
      </c>
      <c r="N30">
        <v>0</v>
      </c>
      <c r="O30">
        <v>0</v>
      </c>
      <c r="P30">
        <v>9.1492043405994681E-3</v>
      </c>
      <c r="Q30">
        <v>8.3989779101588998E-3</v>
      </c>
      <c r="R30">
        <v>5.2507702017565439E-2</v>
      </c>
      <c r="S30">
        <v>0.26144493118538908</v>
      </c>
      <c r="T30">
        <v>0.17425227188584791</v>
      </c>
      <c r="U30">
        <v>0.38152115007138732</v>
      </c>
      <c r="V30">
        <v>6.7189993594615777E-2</v>
      </c>
    </row>
    <row r="31" spans="1:22" x14ac:dyDescent="0.2">
      <c r="A31" t="s">
        <v>143</v>
      </c>
      <c r="B31" t="s">
        <v>175</v>
      </c>
      <c r="C31">
        <v>0.95408223700066708</v>
      </c>
      <c r="D31">
        <v>0.6896334734986812</v>
      </c>
      <c r="E31">
        <v>0.6757553720068995</v>
      </c>
      <c r="F31">
        <v>0.2885157233614426</v>
      </c>
      <c r="G31">
        <v>0.62845361719832527</v>
      </c>
      <c r="H31">
        <v>1.0794925435173</v>
      </c>
      <c r="I31">
        <v>0.74781128809287156</v>
      </c>
      <c r="J31">
        <v>0.98083945443154907</v>
      </c>
      <c r="K31">
        <v>0.87087319953680997</v>
      </c>
      <c r="L31">
        <v>0.96073942407141311</v>
      </c>
      <c r="M31">
        <v>1.8149006384090189E-2</v>
      </c>
      <c r="N31">
        <v>1.9910222665819169E-2</v>
      </c>
      <c r="O31">
        <v>2.248358324970828E-2</v>
      </c>
      <c r="P31">
        <v>3.4520592200760557E-2</v>
      </c>
      <c r="Q31">
        <v>2.2330833322774909E-2</v>
      </c>
      <c r="R31">
        <v>6.7549024775327302E-2</v>
      </c>
      <c r="S31">
        <v>3.0364752420549292E-2</v>
      </c>
      <c r="T31">
        <v>4.7054159106690988E-2</v>
      </c>
      <c r="U31">
        <v>2.5620768117220388E-2</v>
      </c>
      <c r="V31">
        <v>5.5602450136870311E-2</v>
      </c>
    </row>
    <row r="32" spans="1:22" x14ac:dyDescent="0.2">
      <c r="A32" t="s">
        <v>143</v>
      </c>
      <c r="B32" t="s">
        <v>207</v>
      </c>
      <c r="C32">
        <v>0.57434706959838844</v>
      </c>
      <c r="D32">
        <v>0.40396059250698652</v>
      </c>
      <c r="E32">
        <v>0.45817016451423359</v>
      </c>
      <c r="F32">
        <v>0.59184013365321264</v>
      </c>
      <c r="G32">
        <v>0.70208249795851063</v>
      </c>
      <c r="H32">
        <v>0.26881645882256711</v>
      </c>
      <c r="I32">
        <v>0.50900100737622211</v>
      </c>
      <c r="J32">
        <v>0.47023073775102198</v>
      </c>
      <c r="K32">
        <v>0.3192666915334012</v>
      </c>
      <c r="L32">
        <v>0.29045193691447568</v>
      </c>
      <c r="M32">
        <v>0.64442056826868188</v>
      </c>
      <c r="N32">
        <v>0.62968386015470224</v>
      </c>
      <c r="O32">
        <v>0.82646595433467673</v>
      </c>
      <c r="P32">
        <v>0.50281480459739014</v>
      </c>
      <c r="Q32">
        <v>0.98082774977777754</v>
      </c>
      <c r="R32">
        <v>0.62136613386357875</v>
      </c>
      <c r="S32">
        <v>0.43610410104049779</v>
      </c>
      <c r="T32">
        <v>0.59210216105328561</v>
      </c>
      <c r="U32">
        <v>0.60427775550798901</v>
      </c>
      <c r="V32">
        <v>0.34587491632875228</v>
      </c>
    </row>
    <row r="33" spans="1:22" x14ac:dyDescent="0.2">
      <c r="A33" t="s">
        <v>143</v>
      </c>
      <c r="B33" t="s">
        <v>208</v>
      </c>
      <c r="C33">
        <v>2.013172592155712</v>
      </c>
      <c r="D33">
        <v>1.9071758420551841</v>
      </c>
      <c r="E33">
        <v>1.6399070353867879</v>
      </c>
      <c r="F33">
        <v>0.98002799607060032</v>
      </c>
      <c r="G33">
        <v>1.8380916567834851</v>
      </c>
      <c r="H33">
        <v>1.949238862964936</v>
      </c>
      <c r="I33">
        <v>1.7545962665464661</v>
      </c>
      <c r="J33">
        <v>2.0986840440997998</v>
      </c>
      <c r="K33">
        <v>1.381179980015792</v>
      </c>
      <c r="L33">
        <v>1.927079870804514</v>
      </c>
      <c r="M33">
        <v>0.1798225440795766</v>
      </c>
      <c r="N33">
        <v>0.19180493660343631</v>
      </c>
      <c r="O33">
        <v>0.22558522884958529</v>
      </c>
      <c r="P33">
        <v>0.1148493030010462</v>
      </c>
      <c r="Q33">
        <v>0.19816649229789141</v>
      </c>
      <c r="R33">
        <v>0</v>
      </c>
      <c r="S33">
        <v>1.209451370888177E-2</v>
      </c>
      <c r="T33">
        <v>4.1781260481470232E-2</v>
      </c>
      <c r="U33">
        <v>1.106182450669913E-2</v>
      </c>
      <c r="V33">
        <v>3.8371783649353362E-2</v>
      </c>
    </row>
    <row r="34" spans="1:22" x14ac:dyDescent="0.2">
      <c r="A34" t="s">
        <v>143</v>
      </c>
      <c r="B34" t="s">
        <v>215</v>
      </c>
      <c r="C34">
        <v>0.61751010454584654</v>
      </c>
      <c r="D34">
        <v>0.50267334011956422</v>
      </c>
      <c r="E34">
        <v>0.42046004180420732</v>
      </c>
      <c r="F34">
        <v>0.17164594522887969</v>
      </c>
      <c r="G34">
        <v>0.51328310747177586</v>
      </c>
      <c r="H34">
        <v>0.70215535012694219</v>
      </c>
      <c r="I34">
        <v>0.51206247116130088</v>
      </c>
      <c r="J34">
        <v>0.39874418736587891</v>
      </c>
      <c r="K34">
        <v>0.58319021971199592</v>
      </c>
      <c r="L34">
        <v>0.36318336191216521</v>
      </c>
      <c r="M34">
        <v>0.28319773705011347</v>
      </c>
      <c r="N34">
        <v>0.15318932586044409</v>
      </c>
      <c r="O34">
        <v>0.1432998898359128</v>
      </c>
      <c r="P34">
        <v>0.33323444600737989</v>
      </c>
      <c r="Q34">
        <v>0.32386434247300627</v>
      </c>
      <c r="R34">
        <v>6.0129864751199663E-2</v>
      </c>
      <c r="S34">
        <v>5.5835952671445678E-2</v>
      </c>
      <c r="T34">
        <v>6.9632594415122512E-2</v>
      </c>
      <c r="U34">
        <v>8.2836208825717919E-2</v>
      </c>
      <c r="V34">
        <v>0.1097765081340465</v>
      </c>
    </row>
    <row r="35" spans="1:22" x14ac:dyDescent="0.2">
      <c r="A35" t="s">
        <v>143</v>
      </c>
      <c r="B35" t="s">
        <v>209</v>
      </c>
      <c r="C35">
        <v>0.36471614942624497</v>
      </c>
      <c r="D35">
        <v>0.512439348042107</v>
      </c>
      <c r="E35">
        <v>0.45444246982521203</v>
      </c>
      <c r="F35">
        <v>0.16596482865297879</v>
      </c>
      <c r="G35">
        <v>0.3814943929579877</v>
      </c>
      <c r="H35">
        <v>0.55069680591836556</v>
      </c>
      <c r="I35">
        <v>0.61139022738728366</v>
      </c>
      <c r="J35">
        <v>0.69326614832833633</v>
      </c>
      <c r="K35">
        <v>0.37257565688524769</v>
      </c>
      <c r="L35">
        <v>0.58801819896376517</v>
      </c>
      <c r="M35">
        <v>0</v>
      </c>
      <c r="N35">
        <v>3.3368530560756331E-2</v>
      </c>
      <c r="O35">
        <v>0</v>
      </c>
      <c r="P35">
        <v>0</v>
      </c>
      <c r="Q35">
        <v>3.237814653471993E-3</v>
      </c>
      <c r="R35">
        <v>1.3020267747912271E-2</v>
      </c>
      <c r="S35">
        <v>1.38987043580683E-2</v>
      </c>
      <c r="T35">
        <v>1.271422395157803E-2</v>
      </c>
      <c r="U35">
        <v>1.7175561899356168E-2</v>
      </c>
      <c r="V35">
        <v>1.7503271639558799E-2</v>
      </c>
    </row>
    <row r="36" spans="1:22" x14ac:dyDescent="0.2">
      <c r="A36" t="s">
        <v>144</v>
      </c>
      <c r="B36" t="s">
        <v>207</v>
      </c>
      <c r="C36">
        <v>0.70271323273389197</v>
      </c>
      <c r="D36">
        <v>0.26990507820527632</v>
      </c>
      <c r="E36">
        <v>0.29602074866796357</v>
      </c>
      <c r="F36">
        <v>0.24927191571096191</v>
      </c>
      <c r="G36">
        <v>0.38373438007006022</v>
      </c>
      <c r="H36">
        <v>0.52977311891055534</v>
      </c>
      <c r="I36">
        <v>0.43445278040942048</v>
      </c>
      <c r="J36">
        <v>0.26168148376883138</v>
      </c>
      <c r="K36">
        <v>0.1882747062512421</v>
      </c>
      <c r="L36">
        <v>0.27982162716349479</v>
      </c>
      <c r="M36">
        <v>0.15242012482767919</v>
      </c>
      <c r="N36">
        <v>0.1144045655687544</v>
      </c>
      <c r="O36">
        <v>0.13170062730089471</v>
      </c>
      <c r="P36">
        <v>0.18733317806358149</v>
      </c>
      <c r="Q36">
        <v>0.14114597926658121</v>
      </c>
      <c r="R36">
        <v>0.56913647583358395</v>
      </c>
      <c r="S36">
        <v>0.71336757559657515</v>
      </c>
      <c r="T36">
        <v>0.47477436970590148</v>
      </c>
      <c r="U36">
        <v>0.55388626330266966</v>
      </c>
      <c r="V36">
        <v>0.29571032338578518</v>
      </c>
    </row>
    <row r="37" spans="1:22" x14ac:dyDescent="0.2">
      <c r="A37" t="s">
        <v>144</v>
      </c>
      <c r="B37" t="s">
        <v>216</v>
      </c>
      <c r="C37">
        <v>0.49212780820393481</v>
      </c>
      <c r="D37">
        <v>0.32358012636332112</v>
      </c>
      <c r="E37">
        <v>0.46749410935626978</v>
      </c>
      <c r="F37">
        <v>0.26969765196371243</v>
      </c>
      <c r="G37">
        <v>0.25240249935725911</v>
      </c>
      <c r="H37">
        <v>0.43320964441742649</v>
      </c>
      <c r="I37">
        <v>0.45375922224887061</v>
      </c>
      <c r="J37">
        <v>0.28757822272066341</v>
      </c>
      <c r="K37">
        <v>0.25065488296763527</v>
      </c>
      <c r="L37">
        <v>0.50685169225761573</v>
      </c>
      <c r="M37">
        <v>8.7071460815772633E-2</v>
      </c>
      <c r="N37">
        <v>0.1156986188731462</v>
      </c>
      <c r="O37">
        <v>0.1108115624145989</v>
      </c>
      <c r="P37">
        <v>7.297615161083798E-2</v>
      </c>
      <c r="Q37">
        <v>0.18934090220230729</v>
      </c>
      <c r="R37">
        <v>5.6873974884346742E-2</v>
      </c>
      <c r="S37">
        <v>9.009614227609164E-2</v>
      </c>
      <c r="T37">
        <v>0.1403563190567903</v>
      </c>
      <c r="U37">
        <v>8.5160248270820124E-2</v>
      </c>
      <c r="V37">
        <v>6.8962810539396305E-2</v>
      </c>
    </row>
    <row r="38" spans="1:22" x14ac:dyDescent="0.2">
      <c r="A38" t="s">
        <v>155</v>
      </c>
      <c r="B38" t="s">
        <v>175</v>
      </c>
      <c r="C38">
        <v>0.2378916652618174</v>
      </c>
      <c r="D38">
        <v>0.1969558370389024</v>
      </c>
      <c r="E38">
        <v>0.14158281172132689</v>
      </c>
      <c r="F38">
        <v>0.1403897771299627</v>
      </c>
      <c r="G38">
        <v>0.14247983877624129</v>
      </c>
      <c r="H38">
        <v>0.25059313350707407</v>
      </c>
      <c r="I38">
        <v>0.10502841121385841</v>
      </c>
      <c r="J38">
        <v>0.21878616522825259</v>
      </c>
      <c r="K38">
        <v>0.2295633579250215</v>
      </c>
      <c r="L38">
        <v>0.1003333920673096</v>
      </c>
      <c r="M38">
        <v>0</v>
      </c>
      <c r="N38">
        <v>0</v>
      </c>
      <c r="O38">
        <v>7.0409673035709344E-3</v>
      </c>
      <c r="P38">
        <v>4.6867924907378997E-2</v>
      </c>
      <c r="Q38">
        <v>6.9172500340192664E-3</v>
      </c>
      <c r="R38">
        <v>0.17967828805350691</v>
      </c>
      <c r="S38">
        <v>0.10645084526583699</v>
      </c>
      <c r="T38">
        <v>4.0837677605486802E-2</v>
      </c>
      <c r="U38">
        <v>0.41586936720760459</v>
      </c>
      <c r="V38">
        <v>5.5209243824623007E-2</v>
      </c>
    </row>
    <row r="39" spans="1:22" x14ac:dyDescent="0.2">
      <c r="A39" t="s">
        <v>155</v>
      </c>
      <c r="B39" t="s">
        <v>207</v>
      </c>
      <c r="C39">
        <v>9.7016023565142966</v>
      </c>
      <c r="D39">
        <v>7.92723579352276</v>
      </c>
      <c r="E39">
        <v>8.844670441490031</v>
      </c>
      <c r="F39">
        <v>7.4180977107820922</v>
      </c>
      <c r="G39">
        <v>10.44652730682043</v>
      </c>
      <c r="H39">
        <v>5.9975988677137053</v>
      </c>
      <c r="I39">
        <v>4.0237657667415716</v>
      </c>
      <c r="J39">
        <v>4.5500525741300546</v>
      </c>
      <c r="K39">
        <v>2.440789828466841</v>
      </c>
      <c r="L39">
        <v>4.1362851465905131</v>
      </c>
      <c r="M39">
        <v>3.118390969889004</v>
      </c>
      <c r="N39">
        <v>3.0731663599755148</v>
      </c>
      <c r="O39">
        <v>3.6322998435891551</v>
      </c>
      <c r="P39">
        <v>3.086861636746264</v>
      </c>
      <c r="Q39">
        <v>4.2051560137874251</v>
      </c>
      <c r="R39">
        <v>0.98571343349357066</v>
      </c>
      <c r="S39">
        <v>0.26582083967427778</v>
      </c>
      <c r="T39">
        <v>0.54198775878505423</v>
      </c>
      <c r="U39">
        <v>0.40998276855792548</v>
      </c>
      <c r="V39">
        <v>0.5576699577841826</v>
      </c>
    </row>
    <row r="40" spans="1:22" x14ac:dyDescent="0.2">
      <c r="A40" t="s">
        <v>155</v>
      </c>
      <c r="B40" t="s">
        <v>217</v>
      </c>
      <c r="C40">
        <v>0.52603078823883931</v>
      </c>
      <c r="D40">
        <v>0.42092945648811392</v>
      </c>
      <c r="E40">
        <v>0.43789439769288641</v>
      </c>
      <c r="F40">
        <v>0.4602448219713422</v>
      </c>
      <c r="G40">
        <v>0.57930628696791975</v>
      </c>
      <c r="H40">
        <v>0.32929030953693378</v>
      </c>
      <c r="I40">
        <v>0.31954946406487189</v>
      </c>
      <c r="J40">
        <v>0.19670593254486821</v>
      </c>
      <c r="K40">
        <v>0.2066999500673877</v>
      </c>
      <c r="L40">
        <v>0.33054551842330671</v>
      </c>
      <c r="M40">
        <v>0.22642078515024749</v>
      </c>
      <c r="N40">
        <v>0.1937638076986842</v>
      </c>
      <c r="O40">
        <v>0.14940264640679851</v>
      </c>
      <c r="P40">
        <v>0.199358116836195</v>
      </c>
      <c r="Q40">
        <v>0.34047141436908118</v>
      </c>
      <c r="R40">
        <v>6.8974559846526617E-2</v>
      </c>
      <c r="S40">
        <v>2.6422979694677971E-2</v>
      </c>
      <c r="T40">
        <v>4.4593974469900342E-2</v>
      </c>
      <c r="U40">
        <v>0</v>
      </c>
      <c r="V40">
        <v>6.460188455018067E-3</v>
      </c>
    </row>
    <row r="41" spans="1:22" x14ac:dyDescent="0.2">
      <c r="A41" t="s">
        <v>155</v>
      </c>
      <c r="B41" t="s">
        <v>178</v>
      </c>
      <c r="C41">
        <v>0.42847411865752738</v>
      </c>
      <c r="D41">
        <v>0.49028429188593081</v>
      </c>
      <c r="E41">
        <v>0.40324926860757038</v>
      </c>
      <c r="F41">
        <v>0.31215960477694421</v>
      </c>
      <c r="G41">
        <v>0.5000227767290274</v>
      </c>
      <c r="H41">
        <v>0.32245106790206601</v>
      </c>
      <c r="I41">
        <v>0.2303516880865511</v>
      </c>
      <c r="J41">
        <v>0.2212582236655527</v>
      </c>
      <c r="K41">
        <v>0.24713919025197381</v>
      </c>
      <c r="L41">
        <v>0.28620755205648901</v>
      </c>
      <c r="M41">
        <v>0.1580866575957916</v>
      </c>
      <c r="N41">
        <v>9.0381941907439867E-2</v>
      </c>
      <c r="O41">
        <v>5.5550471635621469E-2</v>
      </c>
      <c r="P41">
        <v>0.1397074358035692</v>
      </c>
      <c r="Q41">
        <v>0.1001156447005587</v>
      </c>
      <c r="R41">
        <v>8.0635177870061001E-3</v>
      </c>
      <c r="S41">
        <v>6.3128828722469332E-3</v>
      </c>
      <c r="T41">
        <v>0</v>
      </c>
      <c r="U41">
        <v>0</v>
      </c>
      <c r="V41">
        <v>0</v>
      </c>
    </row>
    <row r="42" spans="1:22" x14ac:dyDescent="0.2">
      <c r="A42" t="s">
        <v>155</v>
      </c>
      <c r="B42" t="s">
        <v>218</v>
      </c>
      <c r="C42">
        <v>0.23236676622804309</v>
      </c>
      <c r="D42">
        <v>0.1851029917809025</v>
      </c>
      <c r="E42">
        <v>0.2217377014604775</v>
      </c>
      <c r="F42">
        <v>0.25521853773426573</v>
      </c>
      <c r="G42">
        <v>0.29384290562801491</v>
      </c>
      <c r="H42">
        <v>0.1461633210561116</v>
      </c>
      <c r="I42">
        <v>6.9014616828862729E-2</v>
      </c>
      <c r="J42">
        <v>0.13536362025714191</v>
      </c>
      <c r="K42">
        <v>2.3662014273638191E-2</v>
      </c>
      <c r="L42">
        <v>0.15455353855417711</v>
      </c>
      <c r="M42">
        <v>1.6572634118008901E-2</v>
      </c>
      <c r="N42">
        <v>3.6124059936294188E-2</v>
      </c>
      <c r="O42">
        <v>5.83285942680907E-2</v>
      </c>
      <c r="P42">
        <v>3.7912696786904433E-2</v>
      </c>
      <c r="Q42">
        <v>5.5540154566897031E-2</v>
      </c>
      <c r="R42">
        <v>1.21849481650566E-2</v>
      </c>
      <c r="S42">
        <v>0</v>
      </c>
      <c r="T42">
        <v>1.1953965279707841E-2</v>
      </c>
      <c r="U42">
        <v>0</v>
      </c>
      <c r="V42">
        <v>0</v>
      </c>
    </row>
    <row r="43" spans="1:22" x14ac:dyDescent="0.2">
      <c r="A43" t="s">
        <v>146</v>
      </c>
      <c r="B43" t="s">
        <v>206</v>
      </c>
      <c r="C43">
        <v>0.60442098634955621</v>
      </c>
      <c r="D43">
        <v>0.78790167693775781</v>
      </c>
      <c r="E43">
        <v>0.85751369397235777</v>
      </c>
      <c r="F43">
        <v>0.5256530523668973</v>
      </c>
      <c r="G43">
        <v>0.81567511485448108</v>
      </c>
      <c r="H43">
        <v>0.72045367110577374</v>
      </c>
      <c r="I43">
        <v>1.259090492423502</v>
      </c>
      <c r="J43">
        <v>0.92361048670508417</v>
      </c>
      <c r="K43">
        <v>1.5381840213710409</v>
      </c>
      <c r="L43">
        <v>0.98723205012578885</v>
      </c>
      <c r="M43">
        <v>0.38488885614643542</v>
      </c>
      <c r="N43">
        <v>0.24782622703028259</v>
      </c>
      <c r="O43">
        <v>0.17491961352759799</v>
      </c>
      <c r="P43">
        <v>0.27622754360547741</v>
      </c>
      <c r="Q43">
        <v>0.29724193392529108</v>
      </c>
      <c r="R43">
        <v>8.5426395645426521</v>
      </c>
      <c r="S43">
        <v>12.92269952403865</v>
      </c>
      <c r="T43">
        <v>10.209503425835949</v>
      </c>
      <c r="U43">
        <v>19.197764194489849</v>
      </c>
      <c r="V43">
        <v>7.9499038550160783</v>
      </c>
    </row>
    <row r="44" spans="1:22" x14ac:dyDescent="0.2">
      <c r="A44" t="s">
        <v>146</v>
      </c>
      <c r="B44" t="s">
        <v>175</v>
      </c>
      <c r="C44">
        <v>9.6841456433928883</v>
      </c>
      <c r="D44">
        <v>9.5239948158987673</v>
      </c>
      <c r="E44">
        <v>9.7485121647529045</v>
      </c>
      <c r="F44">
        <v>5.8706265905899011</v>
      </c>
      <c r="G44">
        <v>9.4877580697172377</v>
      </c>
      <c r="H44">
        <v>9.8525367240240875</v>
      </c>
      <c r="I44">
        <v>8.3658025585572595</v>
      </c>
      <c r="J44">
        <v>8.8734157244324656</v>
      </c>
      <c r="K44">
        <v>6.2202050726341458</v>
      </c>
      <c r="L44">
        <v>9.6561126346699986</v>
      </c>
      <c r="M44">
        <v>7.9490222468341036</v>
      </c>
      <c r="N44">
        <v>8.7411074582870931</v>
      </c>
      <c r="O44">
        <v>9.2791759381346388</v>
      </c>
      <c r="P44">
        <v>7.9533004348480381</v>
      </c>
      <c r="Q44">
        <v>10.572952769695361</v>
      </c>
      <c r="R44">
        <v>3.3580885376377618</v>
      </c>
      <c r="S44">
        <v>2.597042946303489</v>
      </c>
      <c r="T44">
        <v>3.4706310165907519</v>
      </c>
      <c r="U44">
        <v>3.006408575919929</v>
      </c>
      <c r="V44">
        <v>2.266000356063838</v>
      </c>
    </row>
    <row r="45" spans="1:22" x14ac:dyDescent="0.2">
      <c r="A45" t="s">
        <v>146</v>
      </c>
      <c r="B45" t="s">
        <v>207</v>
      </c>
      <c r="C45">
        <v>8.6332061693956543</v>
      </c>
      <c r="D45">
        <v>8.9168440740405792</v>
      </c>
      <c r="E45">
        <v>7.4753835679257374</v>
      </c>
      <c r="F45">
        <v>4.6055467275026034</v>
      </c>
      <c r="G45">
        <v>8.2241657799140064</v>
      </c>
      <c r="H45">
        <v>8.6864529359187941</v>
      </c>
      <c r="I45">
        <v>8.8316000512679533</v>
      </c>
      <c r="J45">
        <v>8.7543913526217469</v>
      </c>
      <c r="K45">
        <v>6.3121164298428107</v>
      </c>
      <c r="L45">
        <v>7.6271437455595734</v>
      </c>
      <c r="M45">
        <v>3.0514578673084891</v>
      </c>
      <c r="N45">
        <v>3.5147370234339288</v>
      </c>
      <c r="O45">
        <v>3.3381696689833689</v>
      </c>
      <c r="P45">
        <v>3.5633665008362132</v>
      </c>
      <c r="Q45">
        <v>3.7439474263827499</v>
      </c>
      <c r="R45">
        <v>2.7528104926927761</v>
      </c>
      <c r="S45">
        <v>2.4302053386097899</v>
      </c>
      <c r="T45">
        <v>3.0855968302807142</v>
      </c>
      <c r="U45">
        <v>4.5479209391572493</v>
      </c>
      <c r="V45">
        <v>2.0649220286576662</v>
      </c>
    </row>
    <row r="46" spans="1:22" x14ac:dyDescent="0.2">
      <c r="A46" t="s">
        <v>146</v>
      </c>
      <c r="B46" t="s">
        <v>208</v>
      </c>
      <c r="C46">
        <v>2.610471917324658</v>
      </c>
      <c r="D46">
        <v>2.595038912347067</v>
      </c>
      <c r="E46">
        <v>2.3882582709430911</v>
      </c>
      <c r="F46">
        <v>1.418037905008237</v>
      </c>
      <c r="G46">
        <v>2.2977681431115471</v>
      </c>
      <c r="H46">
        <v>3.195146137689572</v>
      </c>
      <c r="I46">
        <v>2.783762712045379</v>
      </c>
      <c r="J46">
        <v>3.3586979235138261</v>
      </c>
      <c r="K46">
        <v>2.1719236321108859</v>
      </c>
      <c r="L46">
        <v>2.9233282204777571</v>
      </c>
      <c r="M46">
        <v>0.16940818915129299</v>
      </c>
      <c r="N46">
        <v>0.22740509072646881</v>
      </c>
      <c r="O46">
        <v>0.2712847962570768</v>
      </c>
      <c r="P46">
        <v>0.21638275852014191</v>
      </c>
      <c r="Q46">
        <v>0.30817007300287208</v>
      </c>
      <c r="R46">
        <v>0.26275246117155282</v>
      </c>
      <c r="S46">
        <v>0.2109047254516899</v>
      </c>
      <c r="T46">
        <v>0.1870996494566429</v>
      </c>
      <c r="U46">
        <v>0.32198690363546117</v>
      </c>
      <c r="V46">
        <v>0.11290574836556749</v>
      </c>
    </row>
    <row r="47" spans="1:22" x14ac:dyDescent="0.2">
      <c r="A47" t="s">
        <v>146</v>
      </c>
      <c r="B47" t="s">
        <v>210</v>
      </c>
      <c r="C47">
        <v>4.6105643800972036</v>
      </c>
      <c r="D47">
        <v>4.6100678584295078</v>
      </c>
      <c r="E47">
        <v>4.5583802808564178</v>
      </c>
      <c r="F47">
        <v>2.7259624168917052</v>
      </c>
      <c r="G47">
        <v>3.9597881111499329</v>
      </c>
      <c r="H47">
        <v>3.9040752930599441</v>
      </c>
      <c r="I47">
        <v>3.7662097750678729</v>
      </c>
      <c r="J47">
        <v>4.0032247987334344</v>
      </c>
      <c r="K47">
        <v>2.245238685570679</v>
      </c>
      <c r="L47">
        <v>3.2233260590404962</v>
      </c>
      <c r="M47">
        <v>4.1861560789408347</v>
      </c>
      <c r="N47">
        <v>5.0680679880100117</v>
      </c>
      <c r="O47">
        <v>4.2013353833122213</v>
      </c>
      <c r="P47">
        <v>4.0539587077015264</v>
      </c>
      <c r="Q47">
        <v>5.3955934589500298</v>
      </c>
      <c r="R47">
        <v>0.56347814622200942</v>
      </c>
      <c r="S47">
        <v>0.95545310272926609</v>
      </c>
      <c r="T47">
        <v>1.3217823976278189</v>
      </c>
      <c r="U47">
        <v>0.78640541501735151</v>
      </c>
      <c r="V47">
        <v>0.76722483123428631</v>
      </c>
    </row>
    <row r="48" spans="1:22" x14ac:dyDescent="0.2">
      <c r="A48" t="s">
        <v>189</v>
      </c>
      <c r="B48" t="s">
        <v>211</v>
      </c>
      <c r="C48">
        <v>5.3417819158077826</v>
      </c>
      <c r="D48">
        <v>4.6413751352044814</v>
      </c>
      <c r="E48">
        <v>4.7041193562345516</v>
      </c>
      <c r="F48">
        <v>3.3018894411272042</v>
      </c>
      <c r="G48">
        <v>4.4960326100768846</v>
      </c>
      <c r="H48">
        <v>5.0884408373534011</v>
      </c>
      <c r="I48">
        <v>5.455314623566716</v>
      </c>
      <c r="J48">
        <v>4.5916662537693824</v>
      </c>
      <c r="K48">
        <v>2.658764035870643</v>
      </c>
      <c r="L48">
        <v>4.8928988645117277</v>
      </c>
      <c r="M48">
        <v>0.9317831344321168</v>
      </c>
      <c r="N48">
        <v>0.88174397931985049</v>
      </c>
      <c r="O48">
        <v>1.122488570000171</v>
      </c>
      <c r="P48">
        <v>1.067829538383493</v>
      </c>
      <c r="Q48">
        <v>1.020873874689459</v>
      </c>
      <c r="R48">
        <v>2.001980744243776</v>
      </c>
      <c r="S48">
        <v>2.4788408999298071</v>
      </c>
      <c r="T48">
        <v>1.9954118300661079</v>
      </c>
      <c r="U48">
        <v>1.841591182327988</v>
      </c>
      <c r="V48">
        <v>2.112212114909251</v>
      </c>
    </row>
    <row r="49" spans="1:22" x14ac:dyDescent="0.2">
      <c r="A49" t="s">
        <v>189</v>
      </c>
      <c r="B49" t="s">
        <v>175</v>
      </c>
      <c r="C49">
        <v>2.193441856629248</v>
      </c>
      <c r="D49">
        <v>1.7515616216552581</v>
      </c>
      <c r="E49">
        <v>1.9507301181947641</v>
      </c>
      <c r="F49">
        <v>1.2426351762786361</v>
      </c>
      <c r="G49">
        <v>2.1914768801066158</v>
      </c>
      <c r="H49">
        <v>2.473663669707407</v>
      </c>
      <c r="I49">
        <v>1.825796866053337</v>
      </c>
      <c r="J49">
        <v>1.9431622894369369</v>
      </c>
      <c r="K49">
        <v>1.3186001526125859</v>
      </c>
      <c r="L49">
        <v>1.8239385059138811</v>
      </c>
      <c r="M49">
        <v>0.70383823369764542</v>
      </c>
      <c r="N49">
        <v>0.96434942063942353</v>
      </c>
      <c r="O49">
        <v>0.94167911086922718</v>
      </c>
      <c r="P49">
        <v>0.79053726133126634</v>
      </c>
      <c r="Q49">
        <v>0.9653861740396853</v>
      </c>
      <c r="R49">
        <v>0.15816580856416229</v>
      </c>
      <c r="S49">
        <v>0.1070107969438843</v>
      </c>
      <c r="T49">
        <v>0.23869418009398771</v>
      </c>
      <c r="U49">
        <v>0.24372693923932209</v>
      </c>
      <c r="V49">
        <v>8.4131430892662021E-2</v>
      </c>
    </row>
    <row r="50" spans="1:22" x14ac:dyDescent="0.2">
      <c r="A50" t="s">
        <v>189</v>
      </c>
      <c r="B50" t="s">
        <v>207</v>
      </c>
      <c r="C50">
        <v>5.9842819023573304</v>
      </c>
      <c r="D50">
        <v>7.0070677081856534</v>
      </c>
      <c r="E50">
        <v>6.427103476888151</v>
      </c>
      <c r="F50">
        <v>4.0277045452452729</v>
      </c>
      <c r="G50">
        <v>6.1827381304436342</v>
      </c>
      <c r="H50">
        <v>6.3290955077551283</v>
      </c>
      <c r="I50">
        <v>8.1105575809770993</v>
      </c>
      <c r="J50">
        <v>7.5539630887327283</v>
      </c>
      <c r="K50">
        <v>4.7554317887010642</v>
      </c>
      <c r="L50">
        <v>7.4099366343401618</v>
      </c>
      <c r="M50">
        <v>2.0750878634555252</v>
      </c>
      <c r="N50">
        <v>3.0609882380357938</v>
      </c>
      <c r="O50">
        <v>2.632006620878911</v>
      </c>
      <c r="P50">
        <v>2.8750261869746181</v>
      </c>
      <c r="Q50">
        <v>3.020341514448897</v>
      </c>
      <c r="R50">
        <v>5.4626815297181501</v>
      </c>
      <c r="S50">
        <v>7.5170887926254792</v>
      </c>
      <c r="T50">
        <v>6.8469394390728713</v>
      </c>
      <c r="U50">
        <v>10.477584488181231</v>
      </c>
      <c r="V50">
        <v>6.6714045254116634</v>
      </c>
    </row>
    <row r="51" spans="1:22" x14ac:dyDescent="0.2">
      <c r="A51" t="s">
        <v>189</v>
      </c>
      <c r="B51" t="s">
        <v>209</v>
      </c>
      <c r="C51">
        <v>2.232078452236077</v>
      </c>
      <c r="D51">
        <v>2.4827831119749701</v>
      </c>
      <c r="E51">
        <v>2.016454814288434</v>
      </c>
      <c r="F51">
        <v>1.0674164870563301</v>
      </c>
      <c r="G51">
        <v>2.233328402236701</v>
      </c>
      <c r="H51">
        <v>2.3251390302069912</v>
      </c>
      <c r="I51">
        <v>2.3528654959009629</v>
      </c>
      <c r="J51">
        <v>2.3390038884428899</v>
      </c>
      <c r="K51">
        <v>1.539173101303744</v>
      </c>
      <c r="L51">
        <v>2.3980665273836661</v>
      </c>
      <c r="M51">
        <v>0.30911841749443719</v>
      </c>
      <c r="N51">
        <v>0.34980485479304269</v>
      </c>
      <c r="O51">
        <v>0.26164211065095611</v>
      </c>
      <c r="P51">
        <v>0.26685015965912562</v>
      </c>
      <c r="Q51">
        <v>0.29272315997241211</v>
      </c>
      <c r="R51">
        <v>0.82678312051071401</v>
      </c>
      <c r="S51">
        <v>0.57341047183240457</v>
      </c>
      <c r="T51">
        <v>0.61751265211749251</v>
      </c>
      <c r="U51">
        <v>1.372628674700145</v>
      </c>
      <c r="V51">
        <v>0.40292119857663589</v>
      </c>
    </row>
    <row r="52" spans="1:22" x14ac:dyDescent="0.2">
      <c r="A52" t="s">
        <v>189</v>
      </c>
      <c r="B52" t="s">
        <v>219</v>
      </c>
      <c r="C52">
        <v>2.9074681630028021</v>
      </c>
      <c r="D52">
        <v>2.331255928634985</v>
      </c>
      <c r="E52">
        <v>2.192111639639394</v>
      </c>
      <c r="F52">
        <v>1.3054742389789851</v>
      </c>
      <c r="G52">
        <v>2.4235228122359529</v>
      </c>
      <c r="H52">
        <v>2.9549112031305702</v>
      </c>
      <c r="I52">
        <v>2.5074116550130499</v>
      </c>
      <c r="J52">
        <v>1.823390858022168</v>
      </c>
      <c r="K52">
        <v>1.0591758981036199</v>
      </c>
      <c r="L52">
        <v>1.9177642905894969</v>
      </c>
      <c r="M52">
        <v>1.3554600320715</v>
      </c>
      <c r="N52">
        <v>1.2004462518624841</v>
      </c>
      <c r="O52">
        <v>0.88550255201725181</v>
      </c>
      <c r="P52">
        <v>1.2281892197137061</v>
      </c>
      <c r="Q52">
        <v>1.2825616860421329</v>
      </c>
      <c r="R52">
        <v>0.28864095829264941</v>
      </c>
      <c r="S52">
        <v>9.0837414467786093E-2</v>
      </c>
      <c r="T52">
        <v>0.25244926094201198</v>
      </c>
      <c r="U52">
        <v>0.1018643363289765</v>
      </c>
      <c r="V52">
        <v>0.19144508031367971</v>
      </c>
    </row>
    <row r="53" spans="1:22" x14ac:dyDescent="0.2">
      <c r="A53" t="s">
        <v>191</v>
      </c>
      <c r="B53" t="s">
        <v>211</v>
      </c>
      <c r="C53">
        <v>21.857214864420381</v>
      </c>
      <c r="D53">
        <v>19.132576958168919</v>
      </c>
      <c r="E53">
        <v>20.90992842169414</v>
      </c>
      <c r="F53">
        <v>13.956635053117729</v>
      </c>
      <c r="G53">
        <v>18.82085879452303</v>
      </c>
      <c r="H53">
        <v>20.974373322122709</v>
      </c>
      <c r="I53">
        <v>20.212641476243821</v>
      </c>
      <c r="J53">
        <v>19.414251260400931</v>
      </c>
      <c r="K53">
        <v>11.68796886198902</v>
      </c>
      <c r="L53">
        <v>20.238283492988831</v>
      </c>
      <c r="M53">
        <v>7.1797537143561323</v>
      </c>
      <c r="N53">
        <v>7.4027764770304278</v>
      </c>
      <c r="O53">
        <v>7.0040840912915296</v>
      </c>
      <c r="P53">
        <v>8.3772806970066043</v>
      </c>
      <c r="Q53">
        <v>7.6467026192089147</v>
      </c>
      <c r="R53">
        <v>14.90075607094384</v>
      </c>
      <c r="S53">
        <v>15.81372728493646</v>
      </c>
      <c r="T53">
        <v>12.60214056989386</v>
      </c>
      <c r="U53">
        <v>10.09228022220856</v>
      </c>
      <c r="V53">
        <v>13.304480617624179</v>
      </c>
    </row>
    <row r="54" spans="1:22" x14ac:dyDescent="0.2">
      <c r="A54" t="s">
        <v>191</v>
      </c>
      <c r="B54" t="s">
        <v>207</v>
      </c>
      <c r="C54">
        <v>13.72799186256867</v>
      </c>
      <c r="D54">
        <v>14.85599240037129</v>
      </c>
      <c r="E54">
        <v>13.400467141745199</v>
      </c>
      <c r="F54">
        <v>7.6623974540534787</v>
      </c>
      <c r="G54">
        <v>13.69207107477677</v>
      </c>
      <c r="H54">
        <v>13.890725999057841</v>
      </c>
      <c r="I54">
        <v>14.42714085643817</v>
      </c>
      <c r="J54">
        <v>13.69365322015984</v>
      </c>
      <c r="K54">
        <v>9.4664663399250735</v>
      </c>
      <c r="L54">
        <v>13.8951021657307</v>
      </c>
      <c r="M54">
        <v>8.8708531664433181</v>
      </c>
      <c r="N54">
        <v>9.5926760924068422</v>
      </c>
      <c r="O54">
        <v>7.7282433934735959</v>
      </c>
      <c r="P54">
        <v>9.8076002281897185</v>
      </c>
      <c r="Q54">
        <v>9.1857090821047489</v>
      </c>
      <c r="R54">
        <v>10.48176611296315</v>
      </c>
      <c r="S54">
        <v>11.08554847698416</v>
      </c>
      <c r="T54">
        <v>10.673775620880489</v>
      </c>
      <c r="U54">
        <v>13.19633985637083</v>
      </c>
      <c r="V54">
        <v>9.5472461598967833</v>
      </c>
    </row>
    <row r="55" spans="1:22" x14ac:dyDescent="0.2">
      <c r="A55" t="s">
        <v>191</v>
      </c>
      <c r="B55" t="s">
        <v>209</v>
      </c>
      <c r="C55">
        <v>2.8592582284086099</v>
      </c>
      <c r="D55">
        <v>2.9973177767692918</v>
      </c>
      <c r="E55">
        <v>2.5761797385221308</v>
      </c>
      <c r="F55">
        <v>1.4962179160845801</v>
      </c>
      <c r="G55">
        <v>2.7441376737995058</v>
      </c>
      <c r="H55">
        <v>2.9507075786800598</v>
      </c>
      <c r="I55">
        <v>3.193671435159414</v>
      </c>
      <c r="J55">
        <v>3.3940550882118292</v>
      </c>
      <c r="K55">
        <v>2.0311520771614031</v>
      </c>
      <c r="L55">
        <v>3.3523221381182169</v>
      </c>
      <c r="M55">
        <v>0.7262161862878167</v>
      </c>
      <c r="N55">
        <v>0.66135075067275217</v>
      </c>
      <c r="O55">
        <v>0.39067437314381109</v>
      </c>
      <c r="P55">
        <v>0.58304750061727584</v>
      </c>
      <c r="Q55">
        <v>0.59392153689928673</v>
      </c>
      <c r="R55">
        <v>1.3561304696139309</v>
      </c>
      <c r="S55">
        <v>1.182622897101721</v>
      </c>
      <c r="T55">
        <v>1.1006056165325759</v>
      </c>
      <c r="U55">
        <v>1.8617430281773111</v>
      </c>
      <c r="V55">
        <v>0.83004137626383534</v>
      </c>
    </row>
    <row r="56" spans="1:22" x14ac:dyDescent="0.2">
      <c r="A56" t="s">
        <v>191</v>
      </c>
      <c r="B56" t="s">
        <v>219</v>
      </c>
      <c r="C56">
        <v>5.1980339280276766</v>
      </c>
      <c r="D56">
        <v>3.9062295374009168</v>
      </c>
      <c r="E56">
        <v>3.9674085526421901</v>
      </c>
      <c r="F56">
        <v>2.2275961761966969</v>
      </c>
      <c r="G56">
        <v>4.1252578375462914</v>
      </c>
      <c r="H56">
        <v>5.2767197761257298</v>
      </c>
      <c r="I56">
        <v>4.3996720860199288</v>
      </c>
      <c r="J56">
        <v>3.716022239524118</v>
      </c>
      <c r="K56">
        <v>2.2900257891890301</v>
      </c>
      <c r="L56">
        <v>4.0764589980059727</v>
      </c>
      <c r="M56">
        <v>2.9218163520793592</v>
      </c>
      <c r="N56">
        <v>2.089636527217885</v>
      </c>
      <c r="O56">
        <v>1.533064901568806</v>
      </c>
      <c r="P56">
        <v>2.1877143310238298</v>
      </c>
      <c r="Q56">
        <v>2.6165119760843778</v>
      </c>
      <c r="R56">
        <v>0.60364641855760648</v>
      </c>
      <c r="S56">
        <v>0.1814950659584546</v>
      </c>
      <c r="T56">
        <v>0.53949635947012187</v>
      </c>
      <c r="U56">
        <v>0.19747788229663149</v>
      </c>
      <c r="V56">
        <v>0.33071474900276548</v>
      </c>
    </row>
    <row r="57" spans="1:22" x14ac:dyDescent="0.2">
      <c r="A57" t="s">
        <v>193</v>
      </c>
      <c r="B57" t="s">
        <v>206</v>
      </c>
      <c r="C57">
        <v>0</v>
      </c>
      <c r="D57">
        <v>1.166923389812427E-3</v>
      </c>
      <c r="E57">
        <v>0</v>
      </c>
      <c r="F57">
        <v>1.235107100420693E-2</v>
      </c>
      <c r="G57">
        <v>2.9817563572365528E-2</v>
      </c>
      <c r="H57">
        <v>0</v>
      </c>
      <c r="I57">
        <v>1.079716064020783E-2</v>
      </c>
      <c r="J57">
        <v>0</v>
      </c>
      <c r="K57">
        <v>6.7302874411369729E-2</v>
      </c>
      <c r="L57">
        <v>8.6026140973134001E-3</v>
      </c>
      <c r="M57">
        <v>6.2557504346247461E-2</v>
      </c>
      <c r="N57">
        <v>0</v>
      </c>
      <c r="O57">
        <v>5.7457108243561998E-3</v>
      </c>
      <c r="P57">
        <v>4.9387001593637998E-3</v>
      </c>
      <c r="Q57">
        <v>1.1100359344209431E-2</v>
      </c>
      <c r="R57">
        <v>1.1577606598686121</v>
      </c>
      <c r="S57">
        <v>1.168934349922919</v>
      </c>
      <c r="T57">
        <v>1.27256009119568</v>
      </c>
      <c r="U57">
        <v>1.437004462562572</v>
      </c>
      <c r="V57">
        <v>0.76931392378460117</v>
      </c>
    </row>
    <row r="58" spans="1:22" x14ac:dyDescent="0.2">
      <c r="A58" t="s">
        <v>193</v>
      </c>
      <c r="B58" t="s">
        <v>180</v>
      </c>
      <c r="C58">
        <v>0.1049080480572382</v>
      </c>
      <c r="D58">
        <v>0.1196971273885078</v>
      </c>
      <c r="E58">
        <v>9.8032224492155748E-2</v>
      </c>
      <c r="F58">
        <v>0.2205570252952381</v>
      </c>
      <c r="G58">
        <v>5.4074314823297769E-2</v>
      </c>
      <c r="H58">
        <v>5.384318709179773E-2</v>
      </c>
      <c r="I58">
        <v>0.1849266333120792</v>
      </c>
      <c r="J58">
        <v>0.22149874661084001</v>
      </c>
      <c r="K58">
        <v>5.3107789677549352E-2</v>
      </c>
      <c r="L58">
        <v>8.6807966646941834E-2</v>
      </c>
      <c r="M58">
        <v>0</v>
      </c>
      <c r="N58">
        <v>3.943159720011166E-3</v>
      </c>
      <c r="O58">
        <v>1.2359574752070101E-2</v>
      </c>
      <c r="P58">
        <v>5.6040544115394672E-3</v>
      </c>
      <c r="Q58">
        <v>0</v>
      </c>
      <c r="R58">
        <v>6.5625891656136666E-3</v>
      </c>
      <c r="S58">
        <v>0</v>
      </c>
      <c r="T58">
        <v>1.56506701253783E-2</v>
      </c>
      <c r="U58">
        <v>7.2181408270230701E-2</v>
      </c>
      <c r="V58">
        <v>7.6457766588378341E-3</v>
      </c>
    </row>
    <row r="59" spans="1:22" x14ac:dyDescent="0.2">
      <c r="A59" t="s">
        <v>153</v>
      </c>
      <c r="B59" t="s">
        <v>207</v>
      </c>
      <c r="C59">
        <v>0.1177540264753997</v>
      </c>
      <c r="D59">
        <v>0.14387574418170851</v>
      </c>
      <c r="E59">
        <v>0.1180237206551905</v>
      </c>
      <c r="F59">
        <v>0.111511119268826</v>
      </c>
      <c r="G59">
        <v>0.1474393596111763</v>
      </c>
      <c r="H59">
        <v>0.27146163931650907</v>
      </c>
      <c r="I59">
        <v>0.17158005406181129</v>
      </c>
      <c r="J59">
        <v>9.3444737626816127E-2</v>
      </c>
      <c r="K59">
        <v>9.6962658876214067E-2</v>
      </c>
      <c r="L59">
        <v>9.8372581987216573E-2</v>
      </c>
      <c r="M59">
        <v>1.8721834319047871E-2</v>
      </c>
      <c r="N59">
        <v>2.1632365149148711E-2</v>
      </c>
      <c r="O59">
        <v>5.4872197499115101E-2</v>
      </c>
      <c r="P59">
        <v>1.288044300108747E-2</v>
      </c>
      <c r="Q59">
        <v>4.7551369086318339E-3</v>
      </c>
      <c r="R59">
        <v>0</v>
      </c>
      <c r="S59">
        <v>0</v>
      </c>
      <c r="T59">
        <v>1.0597190220461E-2</v>
      </c>
      <c r="U59">
        <v>5.1207492526158327E-3</v>
      </c>
      <c r="V59">
        <v>0</v>
      </c>
    </row>
    <row r="60" spans="1:22" x14ac:dyDescent="0.2">
      <c r="A60" t="s">
        <v>153</v>
      </c>
      <c r="B60" t="s">
        <v>209</v>
      </c>
      <c r="C60">
        <v>0.29428454967472351</v>
      </c>
      <c r="D60">
        <v>0.31443351119958762</v>
      </c>
      <c r="E60">
        <v>0.29879180296229568</v>
      </c>
      <c r="F60">
        <v>0.1682333160697066</v>
      </c>
      <c r="G60">
        <v>0.30035018464431451</v>
      </c>
      <c r="H60">
        <v>0.60682728547614628</v>
      </c>
      <c r="I60">
        <v>0.48018419187349232</v>
      </c>
      <c r="J60">
        <v>0.36922363485908821</v>
      </c>
      <c r="K60">
        <v>0.2077906332544916</v>
      </c>
      <c r="L60">
        <v>0.59375254296031976</v>
      </c>
      <c r="M60">
        <v>2.6851049004601831E-2</v>
      </c>
      <c r="N60">
        <v>1.515301881091817E-2</v>
      </c>
      <c r="O60">
        <v>1.4424236161344769E-2</v>
      </c>
      <c r="P60">
        <v>6.3296224321216336E-3</v>
      </c>
      <c r="Q60">
        <v>7.5188301967536134E-2</v>
      </c>
      <c r="R60">
        <v>6.7628383322446861E-2</v>
      </c>
      <c r="S60">
        <v>6.1453986492715398E-2</v>
      </c>
      <c r="T60">
        <v>9.5479338659030327E-2</v>
      </c>
      <c r="U60">
        <v>0.4260674095739736</v>
      </c>
      <c r="V60">
        <v>1.4636132947386001E-2</v>
      </c>
    </row>
    <row r="61" spans="1:22" x14ac:dyDescent="0.2">
      <c r="A61" t="s">
        <v>156</v>
      </c>
      <c r="B61" t="s">
        <v>175</v>
      </c>
      <c r="C61">
        <v>0.43740024660387627</v>
      </c>
      <c r="D61">
        <v>0.41415645049290822</v>
      </c>
      <c r="E61">
        <v>0.2183674380832677</v>
      </c>
      <c r="F61">
        <v>0.17113513728054519</v>
      </c>
      <c r="G61">
        <v>0.29151292478942842</v>
      </c>
      <c r="H61">
        <v>0.30697663208343817</v>
      </c>
      <c r="I61">
        <v>0.41997895284026349</v>
      </c>
      <c r="J61">
        <v>0.26856537557240412</v>
      </c>
      <c r="K61">
        <v>0.1651630952427843</v>
      </c>
      <c r="L61">
        <v>0.37383333263536589</v>
      </c>
      <c r="M61">
        <v>0</v>
      </c>
      <c r="N61">
        <v>1.2051757181534331E-2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9.5010351028302995E-3</v>
      </c>
      <c r="V61">
        <v>1.7570039793819929E-2</v>
      </c>
    </row>
    <row r="62" spans="1:22" x14ac:dyDescent="0.2">
      <c r="A62" t="s">
        <v>156</v>
      </c>
      <c r="B62" t="s">
        <v>209</v>
      </c>
      <c r="C62">
        <v>0.27737928584798532</v>
      </c>
      <c r="D62">
        <v>0.2462288006524111</v>
      </c>
      <c r="E62">
        <v>0.34246623195430842</v>
      </c>
      <c r="F62">
        <v>0.1638099148690754</v>
      </c>
      <c r="G62">
        <v>0.3375760161416218</v>
      </c>
      <c r="H62">
        <v>0.48775866609269891</v>
      </c>
      <c r="I62">
        <v>0.27793773006768779</v>
      </c>
      <c r="J62">
        <v>0.27678116509710721</v>
      </c>
      <c r="K62">
        <v>0.19391330525007869</v>
      </c>
      <c r="L62">
        <v>0.22134852589017209</v>
      </c>
      <c r="M62">
        <v>6.3322638758751798E-2</v>
      </c>
      <c r="N62">
        <v>0.10513962526054151</v>
      </c>
      <c r="O62">
        <v>4.674741914823051E-2</v>
      </c>
      <c r="P62">
        <v>5.5358035589082068E-2</v>
      </c>
      <c r="Q62">
        <v>0.1218187368443728</v>
      </c>
      <c r="R62">
        <v>0.1154025555296342</v>
      </c>
      <c r="S62">
        <v>3.3731245558992172E-2</v>
      </c>
      <c r="T62">
        <v>6.1769716537290069E-2</v>
      </c>
      <c r="U62">
        <v>0.15902956861381631</v>
      </c>
      <c r="V62">
        <v>2.733194066581383E-2</v>
      </c>
    </row>
    <row r="63" spans="1:22" x14ac:dyDescent="0.2">
      <c r="A63" t="s">
        <v>135</v>
      </c>
      <c r="B63" t="s">
        <v>214</v>
      </c>
      <c r="C63">
        <v>2.1050720584858702E-2</v>
      </c>
      <c r="D63">
        <v>0.1178350188225311</v>
      </c>
      <c r="E63">
        <v>0.1246626619206373</v>
      </c>
      <c r="F63">
        <v>6.1929619385574508E-2</v>
      </c>
      <c r="G63">
        <v>6.7418626335939397E-2</v>
      </c>
      <c r="H63">
        <v>4.6924242920476332E-2</v>
      </c>
      <c r="I63">
        <v>0.29662271583862371</v>
      </c>
      <c r="J63">
        <v>0.17266853120037659</v>
      </c>
      <c r="K63">
        <v>5.5864614199837938E-2</v>
      </c>
      <c r="L63">
        <v>0.1721285838806543</v>
      </c>
      <c r="M63">
        <v>1.7573178125213029E-2</v>
      </c>
      <c r="N63">
        <v>7.6200399041751993E-2</v>
      </c>
      <c r="O63">
        <v>5.5108629053373263E-2</v>
      </c>
      <c r="P63">
        <v>8.9919196309877172E-2</v>
      </c>
      <c r="Q63">
        <v>6.7274093562558493E-2</v>
      </c>
      <c r="R63">
        <v>6.8135887876054433E-3</v>
      </c>
      <c r="S63">
        <v>0.1342834778442222</v>
      </c>
      <c r="T63">
        <v>1.423211340688193E-2</v>
      </c>
      <c r="U63">
        <v>0</v>
      </c>
      <c r="V63">
        <v>1.118017095462486E-2</v>
      </c>
    </row>
    <row r="64" spans="1:22" x14ac:dyDescent="0.2">
      <c r="A64" t="s">
        <v>135</v>
      </c>
      <c r="B64" t="s">
        <v>206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1.8261942901523501E-2</v>
      </c>
      <c r="J64">
        <v>8.1846216804781996E-4</v>
      </c>
      <c r="K64">
        <v>1.7749785284855431E-2</v>
      </c>
      <c r="L64">
        <v>0</v>
      </c>
      <c r="M64">
        <v>8.7575822031846998E-3</v>
      </c>
      <c r="N64">
        <v>7.0160485784215298E-3</v>
      </c>
      <c r="O64">
        <v>0</v>
      </c>
      <c r="P64">
        <v>4.6850755487263E-3</v>
      </c>
      <c r="Q64">
        <v>0</v>
      </c>
      <c r="R64">
        <v>0.11300327457662319</v>
      </c>
      <c r="S64">
        <v>0.40663114301082248</v>
      </c>
      <c r="T64">
        <v>0.35298003579522719</v>
      </c>
      <c r="U64">
        <v>0.2455553825653049</v>
      </c>
      <c r="V64">
        <v>0.1677750704949956</v>
      </c>
    </row>
    <row r="65" spans="1:22" x14ac:dyDescent="0.2">
      <c r="A65" t="s">
        <v>135</v>
      </c>
      <c r="B65" t="s">
        <v>220</v>
      </c>
      <c r="C65">
        <v>0.12760166168799111</v>
      </c>
      <c r="D65">
        <v>0.1192295921385008</v>
      </c>
      <c r="E65">
        <v>6.5187288456875547E-2</v>
      </c>
      <c r="F65">
        <v>7.0027786239845236E-2</v>
      </c>
      <c r="G65">
        <v>9.6671935495268105E-2</v>
      </c>
      <c r="H65">
        <v>5.4569225963566073E-2</v>
      </c>
      <c r="I65">
        <v>0.12871120844100259</v>
      </c>
      <c r="J65">
        <v>6.003465114620888E-2</v>
      </c>
      <c r="K65">
        <v>5.8328520928076687E-2</v>
      </c>
      <c r="L65">
        <v>6.9626810902686423E-2</v>
      </c>
      <c r="M65">
        <v>0</v>
      </c>
      <c r="N65">
        <v>0</v>
      </c>
      <c r="O65">
        <v>0</v>
      </c>
      <c r="P65">
        <v>0</v>
      </c>
      <c r="Q65">
        <v>1.6790958344545939E-2</v>
      </c>
      <c r="R65">
        <v>0</v>
      </c>
      <c r="S65">
        <v>0</v>
      </c>
      <c r="T65">
        <v>1.551923908344143E-2</v>
      </c>
      <c r="U65">
        <v>0</v>
      </c>
      <c r="V65">
        <v>0</v>
      </c>
    </row>
    <row r="66" spans="1:22" x14ac:dyDescent="0.2">
      <c r="A66" t="s">
        <v>135</v>
      </c>
      <c r="B66" t="s">
        <v>174</v>
      </c>
      <c r="C66">
        <v>0</v>
      </c>
      <c r="D66">
        <v>8.6638279147515998E-3</v>
      </c>
      <c r="E66">
        <v>4.1938095054542657E-2</v>
      </c>
      <c r="F66">
        <v>8.5487652140402662E-3</v>
      </c>
      <c r="G66">
        <v>0</v>
      </c>
      <c r="H66">
        <v>0</v>
      </c>
      <c r="I66">
        <v>2.2483368456276302E-2</v>
      </c>
      <c r="J66">
        <v>0</v>
      </c>
      <c r="K66">
        <v>1.734758614219457E-2</v>
      </c>
      <c r="L66">
        <v>0</v>
      </c>
      <c r="M66">
        <v>0</v>
      </c>
      <c r="N66">
        <v>1.29535805159047E-2</v>
      </c>
      <c r="O66">
        <v>5.7277228966411367E-2</v>
      </c>
      <c r="P66">
        <v>1.307603079194347E-2</v>
      </c>
      <c r="Q66">
        <v>0</v>
      </c>
      <c r="R66">
        <v>1.09159091835487E-2</v>
      </c>
      <c r="S66">
        <v>5.5572649151234832E-2</v>
      </c>
      <c r="T66">
        <v>0</v>
      </c>
      <c r="U66">
        <v>0.13017331128356041</v>
      </c>
      <c r="V66">
        <v>8.1955463664338007E-2</v>
      </c>
    </row>
    <row r="67" spans="1:22" x14ac:dyDescent="0.2">
      <c r="A67" t="s">
        <v>135</v>
      </c>
      <c r="B67" t="s">
        <v>221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4.2455264441938312E-2</v>
      </c>
      <c r="L67">
        <v>1.6327622653428801E-2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</row>
    <row r="68" spans="1:22" x14ac:dyDescent="0.2">
      <c r="A68" t="s">
        <v>135</v>
      </c>
      <c r="B68" t="s">
        <v>179</v>
      </c>
      <c r="C68">
        <v>0.1069542811438207</v>
      </c>
      <c r="D68">
        <v>7.5306464321085925E-2</v>
      </c>
      <c r="E68">
        <v>4.9520257756098557E-2</v>
      </c>
      <c r="F68">
        <v>2.7164319351121891E-2</v>
      </c>
      <c r="G68">
        <v>0.16684998828230421</v>
      </c>
      <c r="H68">
        <v>1.67295764496121E-2</v>
      </c>
      <c r="I68">
        <v>2.5768278330330539E-2</v>
      </c>
      <c r="J68">
        <v>3.0195820900727401E-2</v>
      </c>
      <c r="K68">
        <v>2.2549864869180002E-2</v>
      </c>
      <c r="L68">
        <v>9.3490001950510999E-4</v>
      </c>
      <c r="M68">
        <v>2.189422446318004E-2</v>
      </c>
      <c r="N68">
        <v>3.6194378147795969E-2</v>
      </c>
      <c r="O68">
        <v>0.13476779623502369</v>
      </c>
      <c r="P68">
        <v>1.2966738347355551E-2</v>
      </c>
      <c r="Q68">
        <v>6.4494423184838029E-2</v>
      </c>
      <c r="R68">
        <v>6.208425339499965E-2</v>
      </c>
      <c r="S68">
        <v>8.7515524186711796E-2</v>
      </c>
      <c r="T68">
        <v>7.5220326522561672E-3</v>
      </c>
      <c r="U68">
        <v>2.7853332728893739E-2</v>
      </c>
      <c r="V68">
        <v>8.4345539973890334E-3</v>
      </c>
    </row>
    <row r="69" spans="1:22" x14ac:dyDescent="0.2">
      <c r="A69" t="s">
        <v>150</v>
      </c>
      <c r="B69" t="s">
        <v>206</v>
      </c>
      <c r="C69">
        <v>2.2013149999999999E-2</v>
      </c>
      <c r="D69">
        <v>3.577573333333333E-2</v>
      </c>
      <c r="E69">
        <v>0</v>
      </c>
      <c r="F69">
        <v>3.7302299999999997E-2</v>
      </c>
      <c r="G69">
        <v>0.1278859</v>
      </c>
      <c r="H69">
        <v>8.966706666666667E-2</v>
      </c>
      <c r="I69">
        <v>1.7543400000000001E-2</v>
      </c>
      <c r="J69">
        <v>0</v>
      </c>
      <c r="K69">
        <v>8.3711233333333329E-2</v>
      </c>
      <c r="L69">
        <v>1.8676033333333331E-2</v>
      </c>
      <c r="M69">
        <v>6.8267666666666669E-3</v>
      </c>
      <c r="N69">
        <v>5.3740866666666658E-2</v>
      </c>
      <c r="O69">
        <v>1.0078433333333329E-2</v>
      </c>
      <c r="P69">
        <v>3.86231E-2</v>
      </c>
      <c r="Q69">
        <v>3.8500933333333327E-2</v>
      </c>
      <c r="R69">
        <v>0.41688933333333328</v>
      </c>
      <c r="S69">
        <v>0.19818116666666671</v>
      </c>
      <c r="T69">
        <v>0.25246586666666671</v>
      </c>
      <c r="U69">
        <v>0.32445239999999997</v>
      </c>
      <c r="V69">
        <v>0.1605222</v>
      </c>
    </row>
    <row r="70" spans="1:22" x14ac:dyDescent="0.2">
      <c r="A70" t="s">
        <v>150</v>
      </c>
      <c r="B70" t="s">
        <v>175</v>
      </c>
      <c r="C70">
        <v>2.2980467003333329</v>
      </c>
      <c r="D70">
        <v>3.8074832000000001</v>
      </c>
      <c r="E70">
        <v>3.9061127666666668</v>
      </c>
      <c r="F70">
        <v>3.519494166666667</v>
      </c>
      <c r="G70">
        <v>3.152010666666667</v>
      </c>
      <c r="H70">
        <v>1.9488135390000001</v>
      </c>
      <c r="I70">
        <v>3.1310066999999999</v>
      </c>
      <c r="J70">
        <v>3.2373846333333329</v>
      </c>
      <c r="K70">
        <v>3.4168142000000001</v>
      </c>
      <c r="L70">
        <v>2.5799350666666672</v>
      </c>
      <c r="M70">
        <v>2.2529148999999999</v>
      </c>
      <c r="N70">
        <v>3.1701014333333331</v>
      </c>
      <c r="O70">
        <v>2.0692895666666669</v>
      </c>
      <c r="P70">
        <v>2.5643967000000001</v>
      </c>
      <c r="Q70">
        <v>3.0346056333333329</v>
      </c>
      <c r="R70">
        <v>0.18006396666666671</v>
      </c>
      <c r="S70">
        <v>0.2034826333333333</v>
      </c>
      <c r="T70">
        <v>0.14866623333333329</v>
      </c>
      <c r="U70">
        <v>9.7152799999999997E-2</v>
      </c>
      <c r="V70">
        <v>0.3536672666666667</v>
      </c>
    </row>
    <row r="71" spans="1:22" x14ac:dyDescent="0.2">
      <c r="A71" t="s">
        <v>150</v>
      </c>
      <c r="B71" t="s">
        <v>207</v>
      </c>
      <c r="C71">
        <v>1.6152324433333329</v>
      </c>
      <c r="D71">
        <v>1.9933357</v>
      </c>
      <c r="E71">
        <v>1.6297156333333329</v>
      </c>
      <c r="F71">
        <v>1.8456543333333331</v>
      </c>
      <c r="G71">
        <v>1.8951860666666669</v>
      </c>
      <c r="H71">
        <v>1.228138541666667</v>
      </c>
      <c r="I71">
        <v>1.6654427000000001</v>
      </c>
      <c r="J71">
        <v>1.6450004666666671</v>
      </c>
      <c r="K71">
        <v>1.5831603333333331</v>
      </c>
      <c r="L71">
        <v>1.538203833333333</v>
      </c>
      <c r="M71">
        <v>1.2656653666666671</v>
      </c>
      <c r="N71">
        <v>1.2646199</v>
      </c>
      <c r="O71">
        <v>1.0118286666666669</v>
      </c>
      <c r="P71">
        <v>0.88916193333333338</v>
      </c>
      <c r="Q71">
        <v>1.223906066666667</v>
      </c>
      <c r="R71">
        <v>0.78473666666666664</v>
      </c>
      <c r="S71">
        <v>0.3125211</v>
      </c>
      <c r="T71">
        <v>0.35959469999999999</v>
      </c>
      <c r="U71">
        <v>0.41071869999999999</v>
      </c>
      <c r="V71">
        <v>0.29867379999999999</v>
      </c>
    </row>
    <row r="72" spans="1:22" x14ac:dyDescent="0.2">
      <c r="A72" t="s">
        <v>150</v>
      </c>
      <c r="B72" t="s">
        <v>215</v>
      </c>
      <c r="C72">
        <v>0.32486530000000002</v>
      </c>
      <c r="D72">
        <v>0.59391673333333328</v>
      </c>
      <c r="E72">
        <v>0.61966353333333335</v>
      </c>
      <c r="F72">
        <v>0.6548662666666667</v>
      </c>
      <c r="G72">
        <v>0.54405789999999998</v>
      </c>
      <c r="H72">
        <v>0.48114699999999999</v>
      </c>
      <c r="I72">
        <v>0.29792193333333328</v>
      </c>
      <c r="J72">
        <v>0.70505716666666662</v>
      </c>
      <c r="K72">
        <v>0.6007889666666667</v>
      </c>
      <c r="L72">
        <v>0.40403163333333331</v>
      </c>
      <c r="M72">
        <v>0.28617986666666673</v>
      </c>
      <c r="N72">
        <v>0.24451873333333329</v>
      </c>
      <c r="O72">
        <v>0.48217056666666669</v>
      </c>
      <c r="P72">
        <v>0.2159802666666667</v>
      </c>
      <c r="Q72">
        <v>0.40106979999999998</v>
      </c>
      <c r="R72">
        <v>0</v>
      </c>
      <c r="S72">
        <v>9.1608666666666665E-3</v>
      </c>
      <c r="T72">
        <v>1.8181699999999999E-2</v>
      </c>
      <c r="U72">
        <v>8.653633333333334E-3</v>
      </c>
      <c r="V72">
        <v>2.9207366666666668E-2</v>
      </c>
    </row>
    <row r="73" spans="1:22" x14ac:dyDescent="0.2">
      <c r="A73" t="s">
        <v>150</v>
      </c>
      <c r="B73" t="s">
        <v>219</v>
      </c>
      <c r="C73">
        <v>0.45848943333333342</v>
      </c>
      <c r="D73">
        <v>0.5090933333333334</v>
      </c>
      <c r="E73">
        <v>0.99141596666666665</v>
      </c>
      <c r="F73">
        <v>0.41867660000000001</v>
      </c>
      <c r="G73">
        <v>0.72351949999999998</v>
      </c>
      <c r="H73">
        <v>0.25473466666666672</v>
      </c>
      <c r="I73">
        <v>0.55518970000000001</v>
      </c>
      <c r="J73">
        <v>0.83347280000000001</v>
      </c>
      <c r="K73">
        <v>0.62043433333333331</v>
      </c>
      <c r="L73">
        <v>0.5682625</v>
      </c>
      <c r="M73">
        <v>0.80856159999999999</v>
      </c>
      <c r="N73">
        <v>0.72753250000000003</v>
      </c>
      <c r="O73">
        <v>0.7947419</v>
      </c>
      <c r="P73">
        <v>0.65373009999999998</v>
      </c>
      <c r="Q73">
        <v>0.63423903333333331</v>
      </c>
      <c r="R73">
        <v>3.4617000000000002E-2</v>
      </c>
      <c r="S73">
        <v>3.4435E-2</v>
      </c>
      <c r="T73">
        <v>0.1090527666666667</v>
      </c>
      <c r="U73">
        <v>4.2717033333333328E-2</v>
      </c>
      <c r="V73">
        <v>0.23319136666666659</v>
      </c>
    </row>
    <row r="74" spans="1:22" x14ac:dyDescent="0.2">
      <c r="A74" t="s">
        <v>151</v>
      </c>
      <c r="B74" t="s">
        <v>211</v>
      </c>
      <c r="C74">
        <v>1.5428167800000001</v>
      </c>
      <c r="D74">
        <v>2.387913966666666</v>
      </c>
      <c r="E74">
        <v>3.752184933333333</v>
      </c>
      <c r="F74">
        <v>2.4443446999999998</v>
      </c>
      <c r="G74">
        <v>2.846759066666666</v>
      </c>
      <c r="H74">
        <v>1.96186119</v>
      </c>
      <c r="I74">
        <v>2.9453160666666669</v>
      </c>
      <c r="J74">
        <v>3.9471525000000001</v>
      </c>
      <c r="K74">
        <v>3.057758133333333</v>
      </c>
      <c r="L74">
        <v>2.8689463000000002</v>
      </c>
      <c r="M74">
        <v>1.154872533333333</v>
      </c>
      <c r="N74">
        <v>1.2347097666666671</v>
      </c>
      <c r="O74">
        <v>1.1430447333333329</v>
      </c>
      <c r="P74">
        <v>1.1293253999999999</v>
      </c>
      <c r="Q74">
        <v>0.84657723333333335</v>
      </c>
      <c r="R74">
        <v>0.72939050000000005</v>
      </c>
      <c r="S74">
        <v>0.60086186666666663</v>
      </c>
      <c r="T74">
        <v>1.139271233333333</v>
      </c>
      <c r="U74">
        <v>0.76256373333333338</v>
      </c>
      <c r="V74">
        <v>0.63307716666666658</v>
      </c>
    </row>
    <row r="75" spans="1:22" x14ac:dyDescent="0.2">
      <c r="A75" t="s">
        <v>151</v>
      </c>
      <c r="B75" t="s">
        <v>175</v>
      </c>
      <c r="C75">
        <v>1.1186304666666671</v>
      </c>
      <c r="D75">
        <v>2.395581833333333</v>
      </c>
      <c r="E75">
        <v>2.1566990000000001</v>
      </c>
      <c r="F75">
        <v>2.0106089666666671</v>
      </c>
      <c r="G75">
        <v>1.7042824000000001</v>
      </c>
      <c r="H75">
        <v>0.96079666666666663</v>
      </c>
      <c r="I75">
        <v>1.6477176</v>
      </c>
      <c r="J75">
        <v>1.6204186</v>
      </c>
      <c r="K75">
        <v>1.845146</v>
      </c>
      <c r="L75">
        <v>1.424040933333333</v>
      </c>
      <c r="M75">
        <v>1.1855336666666669</v>
      </c>
      <c r="N75">
        <v>1.468784633333333</v>
      </c>
      <c r="O75">
        <v>1.1066051333333331</v>
      </c>
      <c r="P75">
        <v>1.767172433333333</v>
      </c>
      <c r="Q75">
        <v>1.209682066666667</v>
      </c>
      <c r="R75">
        <v>1.0245755999999999</v>
      </c>
      <c r="S75">
        <v>0.75396890000000005</v>
      </c>
      <c r="T75">
        <v>1.474200833333333</v>
      </c>
      <c r="U75">
        <v>1.0572554333333331</v>
      </c>
      <c r="V75">
        <v>1.1357828333333331</v>
      </c>
    </row>
    <row r="76" spans="1:22" x14ac:dyDescent="0.2">
      <c r="A76" t="s">
        <v>151</v>
      </c>
      <c r="B76" t="s">
        <v>207</v>
      </c>
      <c r="C76">
        <v>4.64634927</v>
      </c>
      <c r="D76">
        <v>6.9374081999999992</v>
      </c>
      <c r="E76">
        <v>8.3491485333333326</v>
      </c>
      <c r="F76">
        <v>8.9426607000000011</v>
      </c>
      <c r="G76">
        <v>7.3495138333333339</v>
      </c>
      <c r="H76">
        <v>5.6476201266666672</v>
      </c>
      <c r="I76">
        <v>8.0655679666666664</v>
      </c>
      <c r="J76">
        <v>8.6610700999999999</v>
      </c>
      <c r="K76">
        <v>9.2789339999999996</v>
      </c>
      <c r="L76">
        <v>8.3837805333333328</v>
      </c>
      <c r="M76">
        <v>3.1990154999999998</v>
      </c>
      <c r="N76">
        <v>3.3771158333333329</v>
      </c>
      <c r="O76">
        <v>3.3341817666666671</v>
      </c>
      <c r="P76">
        <v>3.8896856333333329</v>
      </c>
      <c r="Q76">
        <v>3.064501733333334</v>
      </c>
      <c r="R76">
        <v>6.0464856666666664</v>
      </c>
      <c r="S76">
        <v>3.876771933333333</v>
      </c>
      <c r="T76">
        <v>3.9508172333333329</v>
      </c>
      <c r="U76">
        <v>3.7108070666666668</v>
      </c>
      <c r="V76">
        <v>4.5373207000000004</v>
      </c>
    </row>
    <row r="77" spans="1:22" x14ac:dyDescent="0.2">
      <c r="A77" t="s">
        <v>151</v>
      </c>
      <c r="B77" t="s">
        <v>208</v>
      </c>
      <c r="C77">
        <v>1.0186809633333329</v>
      </c>
      <c r="D77">
        <v>2.035393766666667</v>
      </c>
      <c r="E77">
        <v>2.4823795333333329</v>
      </c>
      <c r="F77">
        <v>3.1554609666666669</v>
      </c>
      <c r="G77">
        <v>2.6308767999999998</v>
      </c>
      <c r="H77">
        <v>2.3145173799999998</v>
      </c>
      <c r="I77">
        <v>3.6503345999999999</v>
      </c>
      <c r="J77">
        <v>2.9068137333333328</v>
      </c>
      <c r="K77">
        <v>3.5305022666666672</v>
      </c>
      <c r="L77">
        <v>3.8040857666666672</v>
      </c>
      <c r="M77">
        <v>0.16562046666666669</v>
      </c>
      <c r="N77">
        <v>0.22870243333333329</v>
      </c>
      <c r="O77">
        <v>0.30412496666666672</v>
      </c>
      <c r="P77">
        <v>0.14872026666666671</v>
      </c>
      <c r="Q77">
        <v>0.28333770000000003</v>
      </c>
      <c r="R77">
        <v>0.12781609999999999</v>
      </c>
      <c r="S77">
        <v>1.6305133333333329E-2</v>
      </c>
      <c r="T77">
        <v>0.1605482</v>
      </c>
      <c r="U77">
        <v>4.2590999999999997E-2</v>
      </c>
      <c r="V77">
        <v>9.753906666666666E-2</v>
      </c>
    </row>
    <row r="78" spans="1:22" x14ac:dyDescent="0.2">
      <c r="A78" t="s">
        <v>151</v>
      </c>
      <c r="B78" t="s">
        <v>219</v>
      </c>
      <c r="C78">
        <v>1.433024794</v>
      </c>
      <c r="D78">
        <v>2.6248932333333328</v>
      </c>
      <c r="E78">
        <v>3.150882333333334</v>
      </c>
      <c r="F78">
        <v>2.483849066666667</v>
      </c>
      <c r="G78">
        <v>2.264171866666667</v>
      </c>
      <c r="H78">
        <v>1.490258633333333</v>
      </c>
      <c r="I78">
        <v>2.0404682333333328</v>
      </c>
      <c r="J78">
        <v>3.3682562666666671</v>
      </c>
      <c r="K78">
        <v>2.8869654666666671</v>
      </c>
      <c r="L78">
        <v>2.3259224000000001</v>
      </c>
      <c r="M78">
        <v>1.6570091</v>
      </c>
      <c r="N78">
        <v>1.7233301999999999</v>
      </c>
      <c r="O78">
        <v>1.8780296000000001</v>
      </c>
      <c r="P78">
        <v>1.7409797666666671</v>
      </c>
      <c r="Q78">
        <v>1.3104163666666671</v>
      </c>
      <c r="R78">
        <v>0.25533803333333333</v>
      </c>
      <c r="S78">
        <v>0.31375093333333332</v>
      </c>
      <c r="T78">
        <v>0.45881626666666658</v>
      </c>
      <c r="U78">
        <v>0.1999108</v>
      </c>
      <c r="V78">
        <v>0.44723059999999998</v>
      </c>
    </row>
    <row r="79" spans="1:22" x14ac:dyDescent="0.2">
      <c r="A79" t="s">
        <v>195</v>
      </c>
      <c r="B79" t="s">
        <v>211</v>
      </c>
      <c r="C79">
        <v>2.0078466666666669E-2</v>
      </c>
      <c r="D79">
        <v>4.3598733333333327E-2</v>
      </c>
      <c r="E79">
        <v>3.5194866666666658E-2</v>
      </c>
      <c r="F79">
        <v>1.989546666666666E-2</v>
      </c>
      <c r="G79">
        <v>6.1070033333333343E-2</v>
      </c>
      <c r="H79">
        <v>8.2000000000000011E-6</v>
      </c>
      <c r="I79">
        <v>4.66962E-2</v>
      </c>
      <c r="J79">
        <v>1.142176666666667E-2</v>
      </c>
      <c r="K79">
        <v>9.3803266666666676E-2</v>
      </c>
      <c r="L79">
        <v>5.9186333333333327E-2</v>
      </c>
      <c r="M79">
        <v>0</v>
      </c>
      <c r="N79">
        <v>0</v>
      </c>
      <c r="O79">
        <v>0</v>
      </c>
      <c r="P79">
        <v>0</v>
      </c>
      <c r="Q79">
        <v>4.5794666666666662E-3</v>
      </c>
      <c r="R79">
        <v>0.19009746666666669</v>
      </c>
      <c r="S79">
        <v>0.25418653333333341</v>
      </c>
      <c r="T79">
        <v>9.7547700000000001E-2</v>
      </c>
      <c r="U79">
        <v>0.34753813333333328</v>
      </c>
      <c r="V79">
        <v>0.20274846666666671</v>
      </c>
    </row>
    <row r="80" spans="1:22" x14ac:dyDescent="0.2">
      <c r="A80" t="s">
        <v>195</v>
      </c>
      <c r="B80" t="s">
        <v>207</v>
      </c>
      <c r="C80">
        <v>0.42969146666666669</v>
      </c>
      <c r="D80">
        <v>0.54208706666666662</v>
      </c>
      <c r="E80">
        <v>0.46072069999999998</v>
      </c>
      <c r="F80">
        <v>0.91723643333333338</v>
      </c>
      <c r="G80">
        <v>0.48154366666666659</v>
      </c>
      <c r="H80">
        <v>0.29103756666666658</v>
      </c>
      <c r="I80">
        <v>0.53848546666666663</v>
      </c>
      <c r="J80">
        <v>0.57500126666666662</v>
      </c>
      <c r="K80">
        <v>0.51491070000000005</v>
      </c>
      <c r="L80">
        <v>0.71052196666666667</v>
      </c>
      <c r="M80">
        <v>0.44502960000000003</v>
      </c>
      <c r="N80">
        <v>0.6186992</v>
      </c>
      <c r="O80">
        <v>0.51423856666666667</v>
      </c>
      <c r="P80">
        <v>0.80125026666666666</v>
      </c>
      <c r="Q80">
        <v>0.76348549999999993</v>
      </c>
      <c r="R80">
        <v>0.82017776666666664</v>
      </c>
      <c r="S80">
        <v>0.43920143333333328</v>
      </c>
      <c r="T80">
        <v>0.60995913333333329</v>
      </c>
      <c r="U80">
        <v>0.51894303333333336</v>
      </c>
      <c r="V80">
        <v>0.80718756666666669</v>
      </c>
    </row>
    <row r="81" spans="1:22" x14ac:dyDescent="0.2">
      <c r="A81" t="s">
        <v>195</v>
      </c>
      <c r="B81" t="s">
        <v>176</v>
      </c>
      <c r="C81">
        <v>0.74264715000000003</v>
      </c>
      <c r="D81">
        <v>1.4627266333333331</v>
      </c>
      <c r="E81">
        <v>0.57657276666666668</v>
      </c>
      <c r="F81">
        <v>1.539544266666667</v>
      </c>
      <c r="G81">
        <v>1.1510658666666671</v>
      </c>
      <c r="H81">
        <v>0.78907023333333337</v>
      </c>
      <c r="I81">
        <v>1.7899750666666669</v>
      </c>
      <c r="J81">
        <v>0.60551603333333337</v>
      </c>
      <c r="K81">
        <v>1.510927133333333</v>
      </c>
      <c r="L81">
        <v>1.950389366666667</v>
      </c>
      <c r="M81">
        <v>2.074477433333334</v>
      </c>
      <c r="N81">
        <v>1.5091198333333331</v>
      </c>
      <c r="O81">
        <v>0.65429783333333336</v>
      </c>
      <c r="P81">
        <v>1.9178872</v>
      </c>
      <c r="Q81">
        <v>1.2101919999999999</v>
      </c>
      <c r="R81">
        <v>0.21965526666666671</v>
      </c>
      <c r="S81">
        <v>0.35229300000000002</v>
      </c>
      <c r="T81">
        <v>0.1743924</v>
      </c>
      <c r="U81">
        <v>0.2200940666666667</v>
      </c>
      <c r="V81">
        <v>0.33621119999999999</v>
      </c>
    </row>
    <row r="82" spans="1:22" x14ac:dyDescent="0.2">
      <c r="A82" t="s">
        <v>195</v>
      </c>
      <c r="B82" t="s">
        <v>222</v>
      </c>
      <c r="C82">
        <v>0.3845382</v>
      </c>
      <c r="D82">
        <v>0.47888886666666658</v>
      </c>
      <c r="E82">
        <v>0.30444586666666668</v>
      </c>
      <c r="F82">
        <v>0.62096756666666664</v>
      </c>
      <c r="G82">
        <v>0.63348363333333335</v>
      </c>
      <c r="H82">
        <v>0.2770242</v>
      </c>
      <c r="I82">
        <v>0.49338346666666671</v>
      </c>
      <c r="J82">
        <v>0.2469735666666667</v>
      </c>
      <c r="K82">
        <v>0.42678576666666668</v>
      </c>
      <c r="L82">
        <v>0.47602743333333342</v>
      </c>
      <c r="M82">
        <v>1.5318133333333331E-2</v>
      </c>
      <c r="N82">
        <v>4.5930499999999999E-2</v>
      </c>
      <c r="O82">
        <v>4.9094600000000002E-2</v>
      </c>
      <c r="P82">
        <v>0.12361370000000001</v>
      </c>
      <c r="Q82">
        <v>2.319746666666667E-2</v>
      </c>
      <c r="R82">
        <v>1.1791666666666671E-2</v>
      </c>
      <c r="S82">
        <v>9.9596333333333339E-3</v>
      </c>
      <c r="T82">
        <v>0</v>
      </c>
      <c r="U82">
        <v>0</v>
      </c>
      <c r="V82">
        <v>1.3936233333333331E-2</v>
      </c>
    </row>
    <row r="83" spans="1:22" x14ac:dyDescent="0.2">
      <c r="A83" t="s">
        <v>195</v>
      </c>
      <c r="B83" t="s">
        <v>223</v>
      </c>
      <c r="C83">
        <v>0.1246448666666667</v>
      </c>
      <c r="D83">
        <v>7.5670000000000001E-2</v>
      </c>
      <c r="E83">
        <v>0.1139020666666667</v>
      </c>
      <c r="F83">
        <v>0.20988513333333331</v>
      </c>
      <c r="G83">
        <v>0.13281409999999999</v>
      </c>
      <c r="H83">
        <v>5.2339166666666673E-2</v>
      </c>
      <c r="I83">
        <v>3.1396E-2</v>
      </c>
      <c r="J83">
        <v>0.19297866666666669</v>
      </c>
      <c r="K83">
        <v>8.8583966666666653E-2</v>
      </c>
      <c r="L83">
        <v>8.4764533333333322E-2</v>
      </c>
      <c r="M83">
        <v>0.13198436666666671</v>
      </c>
      <c r="N83">
        <v>7.6328366666666661E-2</v>
      </c>
      <c r="O83">
        <v>6.3405866666666671E-2</v>
      </c>
      <c r="P83">
        <v>0.15939776666666669</v>
      </c>
      <c r="Q83">
        <v>0.1388196666666667</v>
      </c>
      <c r="R83">
        <v>1.3667E-2</v>
      </c>
      <c r="S83">
        <v>0</v>
      </c>
      <c r="T83">
        <v>1.7470966666666671E-2</v>
      </c>
      <c r="U83">
        <v>2.2218066666666661E-2</v>
      </c>
      <c r="V83">
        <v>3.7445666666666671E-3</v>
      </c>
    </row>
    <row r="84" spans="1:22" x14ac:dyDescent="0.2">
      <c r="A84" t="s">
        <v>196</v>
      </c>
      <c r="B84" t="s">
        <v>179</v>
      </c>
      <c r="C84">
        <v>0</v>
      </c>
      <c r="D84">
        <v>5.953366666666667E-3</v>
      </c>
      <c r="E84">
        <v>0</v>
      </c>
      <c r="F84">
        <v>3.9012366666666673E-2</v>
      </c>
      <c r="G84">
        <v>1.8656300000000001E-2</v>
      </c>
      <c r="H84">
        <v>0</v>
      </c>
      <c r="I84">
        <v>0</v>
      </c>
      <c r="J84">
        <v>0</v>
      </c>
      <c r="K84">
        <v>0</v>
      </c>
      <c r="L84">
        <v>0</v>
      </c>
      <c r="M84">
        <v>4.8723066666666662E-2</v>
      </c>
      <c r="N84">
        <v>0.1733025</v>
      </c>
      <c r="O84">
        <v>8.2497033333333331E-2</v>
      </c>
      <c r="P84">
        <v>0.10269543333333329</v>
      </c>
      <c r="Q84">
        <v>0.1098389666666667</v>
      </c>
      <c r="R84">
        <v>0</v>
      </c>
      <c r="S84">
        <v>5.1703999999999986E-3</v>
      </c>
      <c r="T84">
        <v>3.8467800000000003E-2</v>
      </c>
      <c r="U84">
        <v>8.5190666666666668E-3</v>
      </c>
      <c r="V84">
        <v>0</v>
      </c>
    </row>
    <row r="85" spans="1:22" x14ac:dyDescent="0.2">
      <c r="A85" t="s">
        <v>196</v>
      </c>
      <c r="B85" t="s">
        <v>176</v>
      </c>
      <c r="C85">
        <v>5.1791299999999998E-2</v>
      </c>
      <c r="D85">
        <v>1.5958199999999999E-2</v>
      </c>
      <c r="E85">
        <v>0</v>
      </c>
      <c r="F85">
        <v>1.3460033333333329E-2</v>
      </c>
      <c r="G85">
        <v>2.7936233333333331E-2</v>
      </c>
      <c r="H85">
        <v>7.3663266666666671E-2</v>
      </c>
      <c r="I85">
        <v>3.5323033333333337E-2</v>
      </c>
      <c r="J85">
        <v>1.816796666666667E-2</v>
      </c>
      <c r="K85">
        <v>0</v>
      </c>
      <c r="L85">
        <v>0.15015963333333329</v>
      </c>
      <c r="M85">
        <v>0.18446543333333329</v>
      </c>
      <c r="N85">
        <v>0.34748183333333332</v>
      </c>
      <c r="O85">
        <v>8.5303466666666661E-2</v>
      </c>
      <c r="P85">
        <v>0.27238096666666672</v>
      </c>
      <c r="Q85">
        <v>0.33318706666666659</v>
      </c>
      <c r="R85">
        <v>0.1119766333333333</v>
      </c>
      <c r="S85">
        <v>0.17695996666666669</v>
      </c>
      <c r="T85">
        <v>7.9339599999999996E-2</v>
      </c>
      <c r="U85">
        <v>9.974866666666668E-2</v>
      </c>
      <c r="V85">
        <v>0.18750016666666669</v>
      </c>
    </row>
    <row r="86" spans="1:22" x14ac:dyDescent="0.2">
      <c r="A86" t="s">
        <v>196</v>
      </c>
      <c r="B86" t="s">
        <v>224</v>
      </c>
      <c r="C86">
        <v>0</v>
      </c>
      <c r="D86">
        <v>9.9333333333333326E-4</v>
      </c>
      <c r="E86">
        <v>1.0356799999999999E-2</v>
      </c>
      <c r="F86">
        <v>2.5123199999999998E-2</v>
      </c>
      <c r="G86">
        <v>0</v>
      </c>
      <c r="H86">
        <v>1.0994766666666669E-2</v>
      </c>
      <c r="I86">
        <v>0</v>
      </c>
      <c r="J86">
        <v>0</v>
      </c>
      <c r="K86">
        <v>9.4646333333333332E-3</v>
      </c>
      <c r="L86">
        <v>8.589833333333333E-3</v>
      </c>
      <c r="M86">
        <v>1.533406666666667E-2</v>
      </c>
      <c r="N86">
        <v>9.0251666666666674E-3</v>
      </c>
      <c r="O86">
        <v>1.5774400000000001E-2</v>
      </c>
      <c r="P86">
        <v>1.030116666666667E-2</v>
      </c>
      <c r="Q86">
        <v>4.3348400000000002E-2</v>
      </c>
      <c r="R86">
        <v>1.543656666666667E-2</v>
      </c>
      <c r="S86">
        <v>2.15394E-2</v>
      </c>
      <c r="T86">
        <v>0</v>
      </c>
      <c r="U86">
        <v>2.913816666666667E-2</v>
      </c>
      <c r="V86">
        <v>2.1572000000000001E-2</v>
      </c>
    </row>
    <row r="87" spans="1:22" x14ac:dyDescent="0.2">
      <c r="A87" t="s">
        <v>161</v>
      </c>
      <c r="B87" t="s">
        <v>211</v>
      </c>
      <c r="C87">
        <v>0.69026935080300056</v>
      </c>
      <c r="D87">
        <v>1.002447997167687</v>
      </c>
      <c r="E87">
        <v>1.248871362039877</v>
      </c>
      <c r="F87">
        <v>0.57385880935322198</v>
      </c>
      <c r="G87">
        <v>0.85463472568174859</v>
      </c>
      <c r="H87">
        <v>0.87726345374511494</v>
      </c>
      <c r="I87">
        <v>1.624719176076812</v>
      </c>
      <c r="J87">
        <v>1.432920719696881</v>
      </c>
      <c r="K87">
        <v>0.68332581205824738</v>
      </c>
      <c r="L87">
        <v>1.54818418615538</v>
      </c>
      <c r="M87">
        <v>0.70022866798404959</v>
      </c>
      <c r="N87">
        <v>1.1729191468941109</v>
      </c>
      <c r="O87">
        <v>1.0549140329000479</v>
      </c>
      <c r="P87">
        <v>1.311771999638184</v>
      </c>
      <c r="Q87">
        <v>1.1626906036171261</v>
      </c>
      <c r="R87">
        <v>1.3451224955628971</v>
      </c>
      <c r="S87">
        <v>1.825967400486775</v>
      </c>
      <c r="T87">
        <v>1.707491558707976</v>
      </c>
      <c r="U87">
        <v>1.005233106632929</v>
      </c>
      <c r="V87">
        <v>1.6974307471445029</v>
      </c>
    </row>
    <row r="88" spans="1:22" x14ac:dyDescent="0.2">
      <c r="A88" t="s">
        <v>161</v>
      </c>
      <c r="B88" t="s">
        <v>207</v>
      </c>
      <c r="C88">
        <v>4.2173329958815744</v>
      </c>
      <c r="D88">
        <v>4.4772112582668271</v>
      </c>
      <c r="E88">
        <v>4.1872330289468529</v>
      </c>
      <c r="F88">
        <v>2.5195749890495001</v>
      </c>
      <c r="G88">
        <v>4.2451693499376999</v>
      </c>
      <c r="H88">
        <v>3.7173561507158661</v>
      </c>
      <c r="I88">
        <v>3.7160111475465878</v>
      </c>
      <c r="J88">
        <v>3.8426542741559322</v>
      </c>
      <c r="K88">
        <v>2.544775279965799</v>
      </c>
      <c r="L88">
        <v>3.0864757402799681</v>
      </c>
      <c r="M88">
        <v>8.5635333157359685</v>
      </c>
      <c r="N88">
        <v>7.3330693388578201</v>
      </c>
      <c r="O88">
        <v>9.0104244378969565</v>
      </c>
      <c r="P88">
        <v>7.4215254794242034</v>
      </c>
      <c r="Q88">
        <v>9.1602813585774765</v>
      </c>
      <c r="R88">
        <v>6.4645762469652377</v>
      </c>
      <c r="S88">
        <v>7.1316220493579499</v>
      </c>
      <c r="T88">
        <v>6.6743346783061064</v>
      </c>
      <c r="U88">
        <v>6.9810575616033876</v>
      </c>
      <c r="V88">
        <v>5.8924392959728289</v>
      </c>
    </row>
    <row r="89" spans="1:22" x14ac:dyDescent="0.2">
      <c r="A89" t="s">
        <v>161</v>
      </c>
      <c r="B89" t="s">
        <v>208</v>
      </c>
      <c r="C89">
        <v>1.711324128289929</v>
      </c>
      <c r="D89">
        <v>1.4914775236736171</v>
      </c>
      <c r="E89">
        <v>1.404181469700865</v>
      </c>
      <c r="F89">
        <v>0.57525090598587469</v>
      </c>
      <c r="G89">
        <v>1.265941490539547</v>
      </c>
      <c r="H89">
        <v>1.857563779821864</v>
      </c>
      <c r="I89">
        <v>1.9950308088346951</v>
      </c>
      <c r="J89">
        <v>1.985854129315539</v>
      </c>
      <c r="K89">
        <v>1.2790165068229811</v>
      </c>
      <c r="L89">
        <v>1.9275070141540109</v>
      </c>
      <c r="M89">
        <v>9.9551725258262169E-2</v>
      </c>
      <c r="N89">
        <v>8.0516716448808909E-2</v>
      </c>
      <c r="O89">
        <v>0.1447282951008341</v>
      </c>
      <c r="P89">
        <v>5.5397003341516912E-2</v>
      </c>
      <c r="Q89">
        <v>8.411857060818162E-2</v>
      </c>
      <c r="R89">
        <v>0.17781445201000601</v>
      </c>
      <c r="S89">
        <v>0.1342901792384619</v>
      </c>
      <c r="T89">
        <v>0.15852578306536019</v>
      </c>
      <c r="U89">
        <v>4.48875099909141E-2</v>
      </c>
      <c r="V89">
        <v>0.1332818167537243</v>
      </c>
    </row>
    <row r="90" spans="1:22" x14ac:dyDescent="0.2">
      <c r="A90" t="s">
        <v>161</v>
      </c>
      <c r="B90" t="s">
        <v>223</v>
      </c>
      <c r="C90">
        <v>1.306861601026319</v>
      </c>
      <c r="D90">
        <v>0.90066520745254985</v>
      </c>
      <c r="E90">
        <v>0.7930760559936556</v>
      </c>
      <c r="F90">
        <v>0.49333943974371891</v>
      </c>
      <c r="G90">
        <v>1.0216641226045511</v>
      </c>
      <c r="H90">
        <v>1.114395991107481</v>
      </c>
      <c r="I90">
        <v>0.71414251186240973</v>
      </c>
      <c r="J90">
        <v>0.93859946861427612</v>
      </c>
      <c r="K90">
        <v>0.59494580472439063</v>
      </c>
      <c r="L90">
        <v>0.78313630679711277</v>
      </c>
      <c r="M90">
        <v>0.57808746873104588</v>
      </c>
      <c r="N90">
        <v>0.857719917831537</v>
      </c>
      <c r="O90">
        <v>0.62458511056721711</v>
      </c>
      <c r="P90">
        <v>0.51915308218173495</v>
      </c>
      <c r="Q90">
        <v>0.73302588433005322</v>
      </c>
      <c r="R90">
        <v>8.2167745867221809E-2</v>
      </c>
      <c r="S90">
        <v>3.32895028108907E-2</v>
      </c>
      <c r="T90">
        <v>8.5943724695173057E-2</v>
      </c>
      <c r="U90">
        <v>1.997042943219238E-2</v>
      </c>
      <c r="V90">
        <v>1.278991479546672E-2</v>
      </c>
    </row>
    <row r="91" spans="1:22" x14ac:dyDescent="0.2">
      <c r="A91" t="s">
        <v>161</v>
      </c>
      <c r="B91" t="s">
        <v>225</v>
      </c>
      <c r="C91">
        <v>0.42546289632181178</v>
      </c>
      <c r="D91">
        <v>0.19988256003346319</v>
      </c>
      <c r="E91">
        <v>0.2245231919761223</v>
      </c>
      <c r="F91">
        <v>0.1081772430189407</v>
      </c>
      <c r="G91">
        <v>0.14932549181451171</v>
      </c>
      <c r="H91">
        <v>0.45028119376380948</v>
      </c>
      <c r="I91">
        <v>0.48698771751115688</v>
      </c>
      <c r="J91">
        <v>0.70822311558841555</v>
      </c>
      <c r="K91">
        <v>0.49121803890309129</v>
      </c>
      <c r="L91">
        <v>0.90713445748047172</v>
      </c>
      <c r="M91">
        <v>1.255858723426116</v>
      </c>
      <c r="N91">
        <v>0.63668996976187797</v>
      </c>
      <c r="O91">
        <v>0.70457929181913836</v>
      </c>
      <c r="P91">
        <v>0.87316494062581174</v>
      </c>
      <c r="Q91">
        <v>0.57761787801048847</v>
      </c>
      <c r="R91">
        <v>2.709386624858293</v>
      </c>
      <c r="S91">
        <v>2.5970640278478641</v>
      </c>
      <c r="T91">
        <v>2.119013862077253</v>
      </c>
      <c r="U91">
        <v>1.6939086483886421</v>
      </c>
      <c r="V91">
        <v>2.075250216538834</v>
      </c>
    </row>
    <row r="92" spans="1:22" x14ac:dyDescent="0.2">
      <c r="A92" t="s">
        <v>136</v>
      </c>
      <c r="B92" t="s">
        <v>179</v>
      </c>
      <c r="C92">
        <v>0</v>
      </c>
      <c r="D92">
        <v>4.2196930871261203E-2</v>
      </c>
      <c r="E92">
        <v>1.3883531282780101E-2</v>
      </c>
      <c r="F92">
        <v>7.7086951775321673E-6</v>
      </c>
      <c r="G92">
        <v>1.4496171346132501E-3</v>
      </c>
      <c r="H92">
        <v>0</v>
      </c>
      <c r="I92">
        <v>0</v>
      </c>
      <c r="J92">
        <v>0.1042058381583808</v>
      </c>
      <c r="K92">
        <v>4.1517529268668002E-2</v>
      </c>
      <c r="L92">
        <v>2.2191292837468232E-3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</row>
    <row r="93" spans="1:22" x14ac:dyDescent="0.2">
      <c r="A93" t="s">
        <v>157</v>
      </c>
      <c r="B93" t="s">
        <v>214</v>
      </c>
      <c r="C93">
        <v>0.12608822094729669</v>
      </c>
      <c r="D93">
        <v>0.47167383613731501</v>
      </c>
      <c r="E93">
        <v>0.29213909321276982</v>
      </c>
      <c r="F93">
        <v>0.26023151381112342</v>
      </c>
      <c r="G93">
        <v>0.44832143241232719</v>
      </c>
      <c r="H93">
        <v>0.15355624882561669</v>
      </c>
      <c r="I93">
        <v>0.37859446772324401</v>
      </c>
      <c r="J93">
        <v>0.42515131147065549</v>
      </c>
      <c r="K93">
        <v>0.25338678191113517</v>
      </c>
      <c r="L93">
        <v>0.29003954728659692</v>
      </c>
      <c r="M93">
        <v>0.16318833368514779</v>
      </c>
      <c r="N93">
        <v>0.52864581829953605</v>
      </c>
      <c r="O93">
        <v>0.39758507876103688</v>
      </c>
      <c r="P93">
        <v>0.42655871824892783</v>
      </c>
      <c r="Q93">
        <v>0.49524278852700399</v>
      </c>
      <c r="R93">
        <v>3.0758570089267499E-2</v>
      </c>
      <c r="S93">
        <v>5.0556707726419362E-2</v>
      </c>
      <c r="T93">
        <v>9.5012624716620309E-2</v>
      </c>
      <c r="U93">
        <v>0.16677045795488279</v>
      </c>
      <c r="V93">
        <v>9.9735378184920162E-2</v>
      </c>
    </row>
    <row r="94" spans="1:22" x14ac:dyDescent="0.2">
      <c r="A94" t="s">
        <v>157</v>
      </c>
      <c r="B94" t="s">
        <v>206</v>
      </c>
      <c r="C94">
        <v>0.19258775898428421</v>
      </c>
      <c r="D94">
        <v>0.1304039851403688</v>
      </c>
      <c r="E94">
        <v>9.4725728129421968E-2</v>
      </c>
      <c r="F94">
        <v>3.9352031541097607E-2</v>
      </c>
      <c r="G94">
        <v>4.278453129505707E-2</v>
      </c>
      <c r="H94">
        <v>0.18484525750360239</v>
      </c>
      <c r="I94">
        <v>0.14953516960582289</v>
      </c>
      <c r="J94">
        <v>0.12891975196387559</v>
      </c>
      <c r="K94">
        <v>0.1655875570863882</v>
      </c>
      <c r="L94">
        <v>0.108786989424457</v>
      </c>
      <c r="M94">
        <v>5.0371678149912997E-3</v>
      </c>
      <c r="N94">
        <v>1.82671168628901E-2</v>
      </c>
      <c r="O94">
        <v>6.0272154666693332E-3</v>
      </c>
      <c r="P94">
        <v>0</v>
      </c>
      <c r="Q94">
        <v>1.0387026918137631E-2</v>
      </c>
      <c r="R94">
        <v>0.25761421294081788</v>
      </c>
      <c r="S94">
        <v>0.70872540829670616</v>
      </c>
      <c r="T94">
        <v>0.43993143818899261</v>
      </c>
      <c r="U94">
        <v>1.790379215596783</v>
      </c>
      <c r="V94">
        <v>0.34186034010996391</v>
      </c>
    </row>
    <row r="95" spans="1:22" x14ac:dyDescent="0.2">
      <c r="A95" t="s">
        <v>157</v>
      </c>
      <c r="B95" t="s">
        <v>207</v>
      </c>
      <c r="C95">
        <v>0.36856267829275302</v>
      </c>
      <c r="D95">
        <v>0.16873346456279409</v>
      </c>
      <c r="E95">
        <v>0.33773093357642692</v>
      </c>
      <c r="F95">
        <v>0.14018081582371331</v>
      </c>
      <c r="G95">
        <v>0.22740070355210931</v>
      </c>
      <c r="H95">
        <v>0.49416162008570141</v>
      </c>
      <c r="I95">
        <v>0.28472472292392892</v>
      </c>
      <c r="J95">
        <v>0.502002894779496</v>
      </c>
      <c r="K95">
        <v>0.39945054296205712</v>
      </c>
      <c r="L95">
        <v>0.38160421330827149</v>
      </c>
      <c r="M95">
        <v>3.1461153813420041E-3</v>
      </c>
      <c r="N95">
        <v>7.2676700598088465E-2</v>
      </c>
      <c r="O95">
        <v>2.614579518442315E-2</v>
      </c>
      <c r="P95">
        <v>1.661956012233777E-2</v>
      </c>
      <c r="Q95">
        <v>3.9033541547244303E-2</v>
      </c>
      <c r="R95">
        <v>1.46813784594804E-2</v>
      </c>
      <c r="S95">
        <v>6.7942080949356207E-2</v>
      </c>
      <c r="T95">
        <v>2.1303808017415871E-2</v>
      </c>
      <c r="U95">
        <v>0.2232343117821651</v>
      </c>
      <c r="V95">
        <v>2.236047362244457E-2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E0835-CB5F-484E-87CD-845CCEBB834D}">
  <dimension ref="A1:AI36"/>
  <sheetViews>
    <sheetView tabSelected="1" topLeftCell="P1" workbookViewId="0">
      <selection activeCell="Y11" sqref="Y11"/>
    </sheetView>
  </sheetViews>
  <sheetFormatPr baseColWidth="10" defaultRowHeight="16" x14ac:dyDescent="0.2"/>
  <cols>
    <col min="1" max="1" width="34.1640625" customWidth="1"/>
    <col min="2" max="2" width="18.5" customWidth="1"/>
    <col min="23" max="23" width="20.33203125" customWidth="1"/>
    <col min="24" max="24" width="16" customWidth="1"/>
    <col min="25" max="25" width="16.33203125" customWidth="1"/>
    <col min="26" max="26" width="14" customWidth="1"/>
    <col min="27" max="27" width="14.33203125" customWidth="1"/>
    <col min="28" max="28" width="13.6640625" customWidth="1"/>
    <col min="30" max="30" width="12.6640625" customWidth="1"/>
  </cols>
  <sheetData>
    <row r="1" spans="1:34" ht="19" x14ac:dyDescent="0.25">
      <c r="A1" s="13" t="s">
        <v>205</v>
      </c>
    </row>
    <row r="4" spans="1:34" x14ac:dyDescent="0.2">
      <c r="B4" s="21" t="s">
        <v>162</v>
      </c>
      <c r="C4" s="21" t="s">
        <v>106</v>
      </c>
      <c r="D4" s="21" t="s">
        <v>107</v>
      </c>
      <c r="E4" s="21" t="s">
        <v>108</v>
      </c>
      <c r="F4" s="21" t="s">
        <v>109</v>
      </c>
      <c r="G4" s="21" t="s">
        <v>110</v>
      </c>
      <c r="H4" s="21" t="s">
        <v>111</v>
      </c>
      <c r="I4" s="21" t="s">
        <v>112</v>
      </c>
      <c r="J4" s="21" t="s">
        <v>113</v>
      </c>
      <c r="K4" s="21" t="s">
        <v>114</v>
      </c>
      <c r="L4" s="21" t="s">
        <v>115</v>
      </c>
      <c r="M4" s="21" t="s">
        <v>116</v>
      </c>
      <c r="N4" s="21" t="s">
        <v>117</v>
      </c>
      <c r="O4" s="21" t="s">
        <v>118</v>
      </c>
      <c r="P4" s="21" t="s">
        <v>119</v>
      </c>
      <c r="Q4" s="21" t="s">
        <v>120</v>
      </c>
      <c r="R4" s="21" t="s">
        <v>121</v>
      </c>
      <c r="S4" s="21" t="s">
        <v>122</v>
      </c>
      <c r="T4" s="21" t="s">
        <v>123</v>
      </c>
      <c r="U4" s="21" t="s">
        <v>124</v>
      </c>
      <c r="V4" s="21" t="s">
        <v>125</v>
      </c>
      <c r="W4" s="21" t="s">
        <v>162</v>
      </c>
      <c r="X4" s="21" t="s">
        <v>132</v>
      </c>
      <c r="Y4" s="21" t="s">
        <v>163</v>
      </c>
      <c r="Z4" s="21" t="s">
        <v>164</v>
      </c>
      <c r="AA4" s="21" t="s">
        <v>165</v>
      </c>
      <c r="AB4" s="21" t="s">
        <v>166</v>
      </c>
      <c r="AC4" s="21" t="s">
        <v>167</v>
      </c>
      <c r="AE4" s="16"/>
      <c r="AF4" s="16"/>
      <c r="AG4" s="16"/>
      <c r="AH4" s="16"/>
    </row>
    <row r="5" spans="1:34" x14ac:dyDescent="0.2">
      <c r="A5" s="31" t="s">
        <v>134</v>
      </c>
      <c r="B5" s="18" t="s">
        <v>135</v>
      </c>
      <c r="C5" s="19">
        <v>0</v>
      </c>
      <c r="D5" s="19">
        <v>3.0254469999999999E-2</v>
      </c>
      <c r="E5" s="19">
        <v>7.2755679999999996E-3</v>
      </c>
      <c r="F5" s="19">
        <v>0</v>
      </c>
      <c r="G5" s="19">
        <v>4.7671579999999996E-3</v>
      </c>
      <c r="H5" s="19">
        <v>8.9635589999999994E-3</v>
      </c>
      <c r="I5" s="19">
        <v>1.7541646000000001E-2</v>
      </c>
      <c r="J5" s="19">
        <v>0</v>
      </c>
      <c r="K5" s="19">
        <v>0</v>
      </c>
      <c r="L5" s="19">
        <v>6.9238579999999997E-3</v>
      </c>
      <c r="M5" s="19">
        <v>0</v>
      </c>
      <c r="N5" s="19">
        <v>0</v>
      </c>
      <c r="O5" s="19">
        <v>0</v>
      </c>
      <c r="P5" s="19">
        <v>0</v>
      </c>
      <c r="Q5" s="19">
        <v>0</v>
      </c>
      <c r="R5" s="19">
        <v>1.1281263E-2</v>
      </c>
      <c r="S5" s="19">
        <v>0</v>
      </c>
      <c r="T5" s="19">
        <v>0</v>
      </c>
      <c r="U5" s="19">
        <v>0</v>
      </c>
      <c r="V5" s="19">
        <v>1.577717E-3</v>
      </c>
      <c r="W5" s="18" t="s">
        <v>135</v>
      </c>
      <c r="X5" s="19" t="str">
        <f>TEXT(MIN(C5:V5),"0.00000")&amp;" - "&amp;TEXT(MAX(C5:V5),"0.00000")</f>
        <v>0.00000 - 0.03025</v>
      </c>
      <c r="Y5" s="19">
        <f>AVERAGE(C5:V5)</f>
        <v>4.4292619500000008E-3</v>
      </c>
      <c r="Z5">
        <f>AVERAGE(C5:G5)</f>
        <v>8.4594392000000001E-3</v>
      </c>
      <c r="AA5">
        <f>AVERAGE(H5:L5)</f>
        <v>6.6858126000000004E-3</v>
      </c>
      <c r="AB5">
        <f>AVERAGE(M5:Q5)</f>
        <v>0</v>
      </c>
      <c r="AC5">
        <f>AVERAGE(R5:V5)</f>
        <v>2.5717959999999999E-3</v>
      </c>
    </row>
    <row r="6" spans="1:34" x14ac:dyDescent="0.2">
      <c r="A6" s="31"/>
      <c r="B6" s="18" t="s">
        <v>136</v>
      </c>
      <c r="C6" s="19">
        <v>0</v>
      </c>
      <c r="D6" s="19">
        <v>0</v>
      </c>
      <c r="E6" s="19">
        <v>0</v>
      </c>
      <c r="F6" s="19">
        <v>0</v>
      </c>
      <c r="G6" s="19">
        <v>0</v>
      </c>
      <c r="H6" s="19">
        <v>0</v>
      </c>
      <c r="I6" s="19">
        <v>0</v>
      </c>
      <c r="J6" s="19">
        <v>0</v>
      </c>
      <c r="K6" s="19">
        <v>0</v>
      </c>
      <c r="L6" s="19">
        <v>0</v>
      </c>
      <c r="M6" s="19">
        <v>0</v>
      </c>
      <c r="N6" s="19">
        <v>0</v>
      </c>
      <c r="O6" s="19">
        <v>0</v>
      </c>
      <c r="P6" s="19">
        <v>0</v>
      </c>
      <c r="Q6" s="19">
        <v>0</v>
      </c>
      <c r="R6" s="19">
        <v>0</v>
      </c>
      <c r="S6" s="19">
        <v>0</v>
      </c>
      <c r="T6" s="19">
        <v>0</v>
      </c>
      <c r="U6" s="19">
        <v>0</v>
      </c>
      <c r="V6" s="19">
        <v>0</v>
      </c>
      <c r="W6" s="18" t="s">
        <v>136</v>
      </c>
      <c r="X6" s="19" t="str">
        <f t="shared" ref="X6:X10" si="0">TEXT(MIN(C6:V6),"0.00000")&amp;" - "&amp;TEXT(MAX(C6:V6),"0.00000")</f>
        <v>0.00000 - 0.00000</v>
      </c>
      <c r="Y6" s="19">
        <f t="shared" ref="Y6:Y10" si="1">AVERAGE(C6:V6)</f>
        <v>0</v>
      </c>
      <c r="Z6">
        <f t="shared" ref="Z6:Z10" si="2">AVERAGE(C6:G6)</f>
        <v>0</v>
      </c>
      <c r="AA6">
        <f t="shared" ref="AA6:AA10" si="3">AVERAGE(H6:L6)</f>
        <v>0</v>
      </c>
      <c r="AB6">
        <f t="shared" ref="AB6:AB10" si="4">AVERAGE(M6:Q6)</f>
        <v>0</v>
      </c>
      <c r="AC6">
        <f t="shared" ref="AC6:AC10" si="5">AVERAGE(R6:V6)</f>
        <v>0</v>
      </c>
    </row>
    <row r="7" spans="1:34" x14ac:dyDescent="0.2">
      <c r="A7" s="31"/>
      <c r="B7" s="19" t="s">
        <v>231</v>
      </c>
      <c r="C7" s="19">
        <f>SUM(C5:C6)</f>
        <v>0</v>
      </c>
      <c r="D7" s="19">
        <f t="shared" ref="D7:V7" si="6">SUM(D5:D6)</f>
        <v>3.0254469999999999E-2</v>
      </c>
      <c r="E7" s="19">
        <f t="shared" si="6"/>
        <v>7.2755679999999996E-3</v>
      </c>
      <c r="F7" s="19">
        <f t="shared" si="6"/>
        <v>0</v>
      </c>
      <c r="G7" s="19">
        <f t="shared" si="6"/>
        <v>4.7671579999999996E-3</v>
      </c>
      <c r="H7" s="19">
        <f t="shared" si="6"/>
        <v>8.9635589999999994E-3</v>
      </c>
      <c r="I7" s="19">
        <f t="shared" si="6"/>
        <v>1.7541646000000001E-2</v>
      </c>
      <c r="J7" s="19">
        <f t="shared" si="6"/>
        <v>0</v>
      </c>
      <c r="K7" s="19">
        <f t="shared" si="6"/>
        <v>0</v>
      </c>
      <c r="L7" s="19">
        <f t="shared" si="6"/>
        <v>6.9238579999999997E-3</v>
      </c>
      <c r="M7" s="19">
        <f t="shared" si="6"/>
        <v>0</v>
      </c>
      <c r="N7" s="19">
        <f t="shared" si="6"/>
        <v>0</v>
      </c>
      <c r="O7" s="19">
        <f t="shared" si="6"/>
        <v>0</v>
      </c>
      <c r="P7" s="19">
        <f t="shared" si="6"/>
        <v>0</v>
      </c>
      <c r="Q7" s="19">
        <f t="shared" si="6"/>
        <v>0</v>
      </c>
      <c r="R7" s="19">
        <f t="shared" si="6"/>
        <v>1.1281263E-2</v>
      </c>
      <c r="S7" s="19">
        <f t="shared" si="6"/>
        <v>0</v>
      </c>
      <c r="T7" s="19">
        <f t="shared" si="6"/>
        <v>0</v>
      </c>
      <c r="U7" s="19">
        <f t="shared" si="6"/>
        <v>0</v>
      </c>
      <c r="V7" s="19">
        <f t="shared" si="6"/>
        <v>1.577717E-3</v>
      </c>
      <c r="W7" s="19" t="s">
        <v>231</v>
      </c>
      <c r="X7" s="19" t="str">
        <f t="shared" ref="X7:X11" si="7">TEXT(MIN(C7:V7),"0.00000")&amp;" - "&amp;TEXT(MAX(C7:V7),"0.00000")</f>
        <v>0.00000 - 0.03025</v>
      </c>
      <c r="Y7" s="19">
        <f t="shared" ref="Y7:Y11" si="8">AVERAGE(C7:V7)</f>
        <v>4.4292619500000008E-3</v>
      </c>
      <c r="Z7">
        <f t="shared" ref="Z7:Z11" si="9">AVERAGE(C7:G7)</f>
        <v>8.4594392000000001E-3</v>
      </c>
      <c r="AA7">
        <f t="shared" ref="AA7:AA11" si="10">AVERAGE(H7:L7)</f>
        <v>6.6858126000000004E-3</v>
      </c>
      <c r="AB7">
        <f t="shared" ref="AB7:AB11" si="11">AVERAGE(M7:Q7)</f>
        <v>0</v>
      </c>
      <c r="AC7">
        <f t="shared" ref="AC7:AC11" si="12">AVERAGE(R7:V7)</f>
        <v>2.5717959999999999E-3</v>
      </c>
    </row>
    <row r="8" spans="1:34" x14ac:dyDescent="0.2">
      <c r="A8" s="31"/>
      <c r="B8" s="18" t="s">
        <v>168</v>
      </c>
      <c r="C8" s="19">
        <v>0</v>
      </c>
      <c r="D8" s="19">
        <v>0</v>
      </c>
      <c r="E8" s="19">
        <v>0.115303789</v>
      </c>
      <c r="F8" s="19">
        <v>6.8566569999999993E-2</v>
      </c>
      <c r="G8" s="19">
        <v>2.055005E-2</v>
      </c>
      <c r="H8" s="19">
        <v>0</v>
      </c>
      <c r="I8" s="19">
        <v>1.9433216E-2</v>
      </c>
      <c r="J8" s="19">
        <v>0.14195692600000001</v>
      </c>
      <c r="K8" s="19">
        <v>0.28741302699999999</v>
      </c>
      <c r="L8" s="19">
        <v>0.117125822</v>
      </c>
      <c r="M8" s="19">
        <v>0</v>
      </c>
      <c r="N8" s="19">
        <v>0</v>
      </c>
      <c r="O8" s="19">
        <v>0</v>
      </c>
      <c r="P8" s="19">
        <v>0</v>
      </c>
      <c r="Q8" s="19">
        <v>0</v>
      </c>
      <c r="R8" s="19">
        <v>0</v>
      </c>
      <c r="S8" s="19">
        <v>0</v>
      </c>
      <c r="T8" s="19">
        <v>2.8290620999999998E-2</v>
      </c>
      <c r="U8" s="19">
        <v>1.8590394E-2</v>
      </c>
      <c r="V8" s="19">
        <v>3.6461829000000001E-2</v>
      </c>
      <c r="W8" s="18" t="s">
        <v>168</v>
      </c>
      <c r="X8" s="19" t="str">
        <f t="shared" si="7"/>
        <v>0.00000 - 0.28741</v>
      </c>
      <c r="Y8" s="19">
        <f t="shared" si="8"/>
        <v>4.2684612199999993E-2</v>
      </c>
      <c r="Z8">
        <f t="shared" si="9"/>
        <v>4.0884081799999993E-2</v>
      </c>
      <c r="AA8">
        <f t="shared" si="10"/>
        <v>0.11318579820000001</v>
      </c>
      <c r="AB8">
        <f t="shared" si="11"/>
        <v>0</v>
      </c>
      <c r="AC8">
        <f t="shared" si="12"/>
        <v>1.6668568799999998E-2</v>
      </c>
    </row>
    <row r="9" spans="1:34" x14ac:dyDescent="0.2">
      <c r="A9" s="31"/>
      <c r="B9" s="18" t="s">
        <v>169</v>
      </c>
      <c r="C9" s="19">
        <v>6.3440544000000001E-2</v>
      </c>
      <c r="D9" s="19">
        <v>0</v>
      </c>
      <c r="E9" s="19">
        <v>0</v>
      </c>
      <c r="F9" s="19">
        <v>8.7400690000000003E-2</v>
      </c>
      <c r="G9" s="19">
        <v>0.107734319</v>
      </c>
      <c r="H9" s="19">
        <v>3.826976E-2</v>
      </c>
      <c r="I9" s="19">
        <v>0</v>
      </c>
      <c r="J9" s="19">
        <v>3.3861458999999997E-2</v>
      </c>
      <c r="K9" s="19">
        <v>0.15848923500000001</v>
      </c>
      <c r="L9" s="19">
        <v>0.16896323999999999</v>
      </c>
      <c r="M9" s="19">
        <v>0</v>
      </c>
      <c r="N9" s="19">
        <v>8.1218899999999997E-3</v>
      </c>
      <c r="O9" s="19">
        <v>7.7621930000000006E-2</v>
      </c>
      <c r="P9" s="19">
        <v>1.1184674E-2</v>
      </c>
      <c r="Q9" s="19">
        <v>0</v>
      </c>
      <c r="R9" s="19">
        <v>0</v>
      </c>
      <c r="S9" s="19">
        <v>1.1616110000000001E-2</v>
      </c>
      <c r="T9" s="19">
        <v>3.0193904000000001E-2</v>
      </c>
      <c r="U9" s="19">
        <v>3.3302434999999998E-2</v>
      </c>
      <c r="V9" s="19">
        <v>0.177036992</v>
      </c>
      <c r="W9" s="18" t="s">
        <v>169</v>
      </c>
      <c r="X9" s="19" t="str">
        <f t="shared" si="7"/>
        <v>0.00000 - 0.17704</v>
      </c>
      <c r="Y9" s="19">
        <f t="shared" si="8"/>
        <v>5.0361859099999996E-2</v>
      </c>
      <c r="Z9">
        <f t="shared" si="9"/>
        <v>5.1715110600000003E-2</v>
      </c>
      <c r="AA9">
        <f t="shared" si="10"/>
        <v>7.9916738799999998E-2</v>
      </c>
      <c r="AB9">
        <f t="shared" si="11"/>
        <v>1.93856988E-2</v>
      </c>
      <c r="AC9">
        <f t="shared" si="12"/>
        <v>5.0429888200000009E-2</v>
      </c>
    </row>
    <row r="10" spans="1:34" x14ac:dyDescent="0.2">
      <c r="A10" s="31"/>
      <c r="B10" s="18" t="s">
        <v>170</v>
      </c>
      <c r="C10" s="19">
        <v>0</v>
      </c>
      <c r="D10" s="19">
        <v>0</v>
      </c>
      <c r="E10" s="19">
        <v>0</v>
      </c>
      <c r="F10" s="19">
        <v>0</v>
      </c>
      <c r="G10" s="19">
        <v>0</v>
      </c>
      <c r="H10" s="19">
        <v>0</v>
      </c>
      <c r="I10" s="19">
        <v>5.5904938000000001E-2</v>
      </c>
      <c r="J10" s="19">
        <v>4.4468010000000002E-3</v>
      </c>
      <c r="K10" s="19">
        <v>1.4536535999999999E-2</v>
      </c>
      <c r="L10" s="19">
        <v>0</v>
      </c>
      <c r="M10" s="19">
        <v>0</v>
      </c>
      <c r="N10" s="19">
        <v>9.5211240000000006E-3</v>
      </c>
      <c r="O10" s="19">
        <v>0</v>
      </c>
      <c r="P10" s="19">
        <v>0</v>
      </c>
      <c r="Q10" s="19">
        <v>0</v>
      </c>
      <c r="R10" s="19">
        <v>1.6977609000000001E-2</v>
      </c>
      <c r="S10" s="19">
        <v>0.10783764699999999</v>
      </c>
      <c r="T10" s="19">
        <v>3.5355928000000002E-2</v>
      </c>
      <c r="U10" s="19">
        <v>0.31712076700000003</v>
      </c>
      <c r="V10" s="19">
        <v>6.6544035000000001E-2</v>
      </c>
      <c r="W10" s="18" t="s">
        <v>170</v>
      </c>
      <c r="X10" s="19" t="str">
        <f t="shared" si="7"/>
        <v>0.00000 - 0.31712</v>
      </c>
      <c r="Y10" s="19">
        <f t="shared" si="8"/>
        <v>3.1412269249999999E-2</v>
      </c>
      <c r="Z10">
        <f t="shared" si="9"/>
        <v>0</v>
      </c>
      <c r="AA10">
        <f t="shared" si="10"/>
        <v>1.4977655000000001E-2</v>
      </c>
      <c r="AB10">
        <f t="shared" si="11"/>
        <v>1.9042248000000002E-3</v>
      </c>
      <c r="AC10">
        <f t="shared" si="12"/>
        <v>0.10876719719999998</v>
      </c>
    </row>
    <row r="11" spans="1:34" x14ac:dyDescent="0.2">
      <c r="A11" s="31"/>
      <c r="B11" s="19" t="s">
        <v>232</v>
      </c>
      <c r="C11" s="19">
        <f>SUM(C8:C10)</f>
        <v>6.3440544000000001E-2</v>
      </c>
      <c r="D11" s="19">
        <f t="shared" ref="D11:V11" si="13">SUM(D8:D10)</f>
        <v>0</v>
      </c>
      <c r="E11" s="19">
        <f t="shared" si="13"/>
        <v>0.115303789</v>
      </c>
      <c r="F11" s="19">
        <f t="shared" si="13"/>
        <v>0.15596726</v>
      </c>
      <c r="G11" s="19">
        <f t="shared" si="13"/>
        <v>0.12828436900000001</v>
      </c>
      <c r="H11" s="19">
        <f t="shared" si="13"/>
        <v>3.826976E-2</v>
      </c>
      <c r="I11" s="19">
        <f t="shared" si="13"/>
        <v>7.5338154000000004E-2</v>
      </c>
      <c r="J11" s="19">
        <f t="shared" si="13"/>
        <v>0.18026518600000002</v>
      </c>
      <c r="K11" s="19">
        <f t="shared" si="13"/>
        <v>0.46043879799999998</v>
      </c>
      <c r="L11" s="19">
        <f t="shared" si="13"/>
        <v>0.28608906200000001</v>
      </c>
      <c r="M11" s="19">
        <f t="shared" si="13"/>
        <v>0</v>
      </c>
      <c r="N11" s="19">
        <f t="shared" si="13"/>
        <v>1.7643013999999999E-2</v>
      </c>
      <c r="O11" s="19">
        <f t="shared" si="13"/>
        <v>7.7621930000000006E-2</v>
      </c>
      <c r="P11" s="19">
        <f t="shared" si="13"/>
        <v>1.1184674E-2</v>
      </c>
      <c r="Q11" s="19">
        <f t="shared" si="13"/>
        <v>0</v>
      </c>
      <c r="R11" s="19">
        <f t="shared" si="13"/>
        <v>1.6977609000000001E-2</v>
      </c>
      <c r="S11" s="19">
        <f t="shared" si="13"/>
        <v>0.11945375699999999</v>
      </c>
      <c r="T11" s="19">
        <f t="shared" si="13"/>
        <v>9.384045299999999E-2</v>
      </c>
      <c r="U11" s="19">
        <f t="shared" si="13"/>
        <v>0.36901359600000005</v>
      </c>
      <c r="V11" s="19">
        <f t="shared" si="13"/>
        <v>0.28004285600000001</v>
      </c>
      <c r="W11" s="19" t="s">
        <v>232</v>
      </c>
      <c r="X11" s="19" t="str">
        <f t="shared" si="7"/>
        <v>0.00000 - 0.46044</v>
      </c>
      <c r="Y11" s="19">
        <f t="shared" si="8"/>
        <v>0.12445874055000002</v>
      </c>
      <c r="Z11">
        <f t="shared" si="9"/>
        <v>9.2599192400000002E-2</v>
      </c>
      <c r="AA11">
        <f t="shared" si="10"/>
        <v>0.208080192</v>
      </c>
      <c r="AB11">
        <f t="shared" si="11"/>
        <v>2.1289923600000003E-2</v>
      </c>
      <c r="AC11">
        <f t="shared" si="12"/>
        <v>0.1758656542</v>
      </c>
    </row>
    <row r="12" spans="1:34" x14ac:dyDescent="0.2">
      <c r="A12" s="31" t="s">
        <v>138</v>
      </c>
      <c r="B12" s="18" t="s">
        <v>139</v>
      </c>
      <c r="C12" s="19">
        <v>1.8541110000000001E-3</v>
      </c>
      <c r="D12" s="19">
        <v>0</v>
      </c>
      <c r="E12" s="19">
        <v>1.0151261E-2</v>
      </c>
      <c r="F12" s="19">
        <v>0</v>
      </c>
      <c r="G12" s="19">
        <v>0</v>
      </c>
      <c r="H12" s="19">
        <v>1.0631808E-2</v>
      </c>
      <c r="I12" s="19">
        <v>0</v>
      </c>
      <c r="J12" s="19">
        <v>3.280388E-3</v>
      </c>
      <c r="K12" s="19">
        <v>1.5054689999999999E-3</v>
      </c>
      <c r="L12" s="19">
        <v>0</v>
      </c>
      <c r="M12" s="19">
        <v>0</v>
      </c>
      <c r="N12" s="19">
        <v>0</v>
      </c>
      <c r="O12" s="19">
        <v>0</v>
      </c>
      <c r="P12" s="19">
        <v>0</v>
      </c>
      <c r="Q12" s="19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8" t="s">
        <v>139</v>
      </c>
      <c r="X12" s="19" t="str">
        <f t="shared" ref="X12:X28" si="14">TEXT(MIN(C12:V12),"0.00000")&amp;" - "&amp;TEXT(MAX(C12:V12),"0.00000")</f>
        <v>0.00000 - 0.01063</v>
      </c>
      <c r="Y12" s="19">
        <f t="shared" ref="Y12:Y28" si="15">AVERAGE(C12:V12)</f>
        <v>1.3711518499999998E-3</v>
      </c>
      <c r="Z12">
        <f t="shared" ref="Z12:Z28" si="16">AVERAGE(C12:G12)</f>
        <v>2.4010744000000001E-3</v>
      </c>
      <c r="AA12">
        <f t="shared" ref="AA12:AA28" si="17">AVERAGE(H12:L12)</f>
        <v>3.0835330000000003E-3</v>
      </c>
      <c r="AB12">
        <f t="shared" ref="AB12:AB28" si="18">AVERAGE(M12:Q12)</f>
        <v>0</v>
      </c>
      <c r="AC12">
        <f t="shared" ref="AC12:AC28" si="19">AVERAGE(R12:V12)</f>
        <v>0</v>
      </c>
    </row>
    <row r="13" spans="1:34" x14ac:dyDescent="0.2">
      <c r="A13" s="31"/>
      <c r="B13" s="18" t="s">
        <v>140</v>
      </c>
      <c r="C13" s="19">
        <v>0.17861769899999999</v>
      </c>
      <c r="D13" s="19">
        <v>9.6877690000000002E-2</v>
      </c>
      <c r="E13" s="19">
        <v>0.147673992</v>
      </c>
      <c r="F13" s="19">
        <v>0.15304271</v>
      </c>
      <c r="G13" s="19">
        <v>8.0439012000000004E-2</v>
      </c>
      <c r="H13" s="19">
        <v>0.118719355</v>
      </c>
      <c r="I13" s="19">
        <v>0.18140503569999999</v>
      </c>
      <c r="J13" s="19">
        <v>0.29395020700000002</v>
      </c>
      <c r="K13" s="19">
        <v>0.52830862199999995</v>
      </c>
      <c r="L13" s="19">
        <v>0.229469232</v>
      </c>
      <c r="M13" s="19">
        <v>0</v>
      </c>
      <c r="N13" s="19">
        <v>1.2048609E-2</v>
      </c>
      <c r="O13" s="19">
        <v>0</v>
      </c>
      <c r="P13" s="19">
        <v>2.0963434999999999E-2</v>
      </c>
      <c r="Q13" s="19">
        <v>6.9272159999999999E-3</v>
      </c>
      <c r="R13" s="19">
        <v>2.1354527000000002E-2</v>
      </c>
      <c r="S13" s="19">
        <v>5.0867283999999999E-2</v>
      </c>
      <c r="T13" s="19">
        <v>4.3668538999999999E-2</v>
      </c>
      <c r="U13" s="19">
        <v>4.1111709000000003E-2</v>
      </c>
      <c r="V13" s="19">
        <v>3.5483279999999999E-3</v>
      </c>
      <c r="W13" s="18" t="s">
        <v>140</v>
      </c>
      <c r="X13" s="19" t="str">
        <f t="shared" si="14"/>
        <v>0.00000 - 0.52831</v>
      </c>
      <c r="Y13" s="19">
        <f t="shared" si="15"/>
        <v>0.11044966008499998</v>
      </c>
      <c r="Z13">
        <f t="shared" si="16"/>
        <v>0.13133022060000002</v>
      </c>
      <c r="AA13">
        <f t="shared" si="17"/>
        <v>0.27037049033999999</v>
      </c>
      <c r="AB13">
        <f t="shared" si="18"/>
        <v>7.9878520000000001E-3</v>
      </c>
      <c r="AC13">
        <f t="shared" si="19"/>
        <v>3.2110077399999999E-2</v>
      </c>
    </row>
    <row r="14" spans="1:34" x14ac:dyDescent="0.2">
      <c r="A14" s="31"/>
      <c r="B14" s="18" t="s">
        <v>141</v>
      </c>
      <c r="C14" s="19">
        <v>7.3400920999999994E-2</v>
      </c>
      <c r="D14" s="19">
        <v>0.17959894000000001</v>
      </c>
      <c r="E14" s="19">
        <v>0.414599722</v>
      </c>
      <c r="F14" s="19">
        <v>0.18055898000000001</v>
      </c>
      <c r="G14" s="19">
        <v>8.5301070000000007E-2</v>
      </c>
      <c r="H14" s="19">
        <v>8.2181575000000007E-2</v>
      </c>
      <c r="I14" s="19">
        <v>0.25282707650000003</v>
      </c>
      <c r="J14" s="19">
        <v>0.50960288899999995</v>
      </c>
      <c r="K14" s="19">
        <v>0.52064465299999996</v>
      </c>
      <c r="L14" s="19">
        <v>0.32656013699999997</v>
      </c>
      <c r="M14" s="19">
        <v>0</v>
      </c>
      <c r="N14" s="19">
        <v>5.2879659999999998E-3</v>
      </c>
      <c r="O14" s="19">
        <v>0</v>
      </c>
      <c r="P14" s="19">
        <v>0</v>
      </c>
      <c r="Q14" s="19">
        <v>6.8889789999999999E-3</v>
      </c>
      <c r="R14" s="19">
        <v>1.2183098E-2</v>
      </c>
      <c r="S14" s="19">
        <v>3.1753549999999999E-3</v>
      </c>
      <c r="T14" s="19">
        <v>6.0076275999999998E-2</v>
      </c>
      <c r="U14" s="19">
        <v>3.7708804999999998E-2</v>
      </c>
      <c r="V14" s="19">
        <v>1.5701043000000001E-2</v>
      </c>
      <c r="W14" s="18" t="s">
        <v>141</v>
      </c>
      <c r="X14" s="19" t="str">
        <f t="shared" si="14"/>
        <v>0.00000 - 0.52064</v>
      </c>
      <c r="Y14" s="19">
        <f t="shared" si="15"/>
        <v>0.138314874275</v>
      </c>
      <c r="Z14">
        <f t="shared" si="16"/>
        <v>0.1866919266</v>
      </c>
      <c r="AA14">
        <f t="shared" si="17"/>
        <v>0.3383632661</v>
      </c>
      <c r="AB14">
        <f t="shared" si="18"/>
        <v>2.435389E-3</v>
      </c>
      <c r="AC14">
        <f t="shared" si="19"/>
        <v>2.5768915399999998E-2</v>
      </c>
    </row>
    <row r="15" spans="1:34" x14ac:dyDescent="0.2">
      <c r="A15" s="31"/>
      <c r="B15" s="18" t="s">
        <v>142</v>
      </c>
      <c r="C15" s="19">
        <v>0</v>
      </c>
      <c r="D15" s="19">
        <v>0</v>
      </c>
      <c r="E15" s="19">
        <v>0</v>
      </c>
      <c r="F15" s="19">
        <v>0</v>
      </c>
      <c r="G15" s="19">
        <v>0</v>
      </c>
      <c r="H15" s="19">
        <v>0</v>
      </c>
      <c r="I15" s="19">
        <v>0</v>
      </c>
      <c r="J15" s="19">
        <v>0</v>
      </c>
      <c r="K15" s="19">
        <v>0</v>
      </c>
      <c r="L15" s="19">
        <v>0</v>
      </c>
      <c r="M15" s="19">
        <v>0</v>
      </c>
      <c r="N15" s="19">
        <v>0</v>
      </c>
      <c r="O15" s="19">
        <v>0</v>
      </c>
      <c r="P15" s="19">
        <v>0</v>
      </c>
      <c r="Q15" s="19">
        <v>0</v>
      </c>
      <c r="R15" s="19">
        <v>0</v>
      </c>
      <c r="S15" s="19">
        <v>0</v>
      </c>
      <c r="T15" s="19">
        <v>0</v>
      </c>
      <c r="U15" s="19">
        <v>0</v>
      </c>
      <c r="V15" s="19">
        <v>0</v>
      </c>
      <c r="W15" s="18" t="s">
        <v>142</v>
      </c>
      <c r="X15" s="19" t="str">
        <f t="shared" si="14"/>
        <v>0.00000 - 0.00000</v>
      </c>
      <c r="Y15" s="19">
        <f t="shared" si="15"/>
        <v>0</v>
      </c>
      <c r="Z15">
        <f t="shared" si="16"/>
        <v>0</v>
      </c>
      <c r="AA15">
        <f t="shared" si="17"/>
        <v>0</v>
      </c>
      <c r="AB15">
        <f t="shared" si="18"/>
        <v>0</v>
      </c>
      <c r="AC15">
        <f t="shared" si="19"/>
        <v>0</v>
      </c>
    </row>
    <row r="16" spans="1:34" x14ac:dyDescent="0.2">
      <c r="A16" s="31"/>
      <c r="B16" s="18" t="s">
        <v>143</v>
      </c>
      <c r="C16" s="19">
        <v>6.0248247999999997E-2</v>
      </c>
      <c r="D16" s="19">
        <v>5.88481E-2</v>
      </c>
      <c r="E16" s="19">
        <v>9.1572392000000002E-2</v>
      </c>
      <c r="F16" s="19">
        <v>6.8607109999999999E-2</v>
      </c>
      <c r="G16" s="19">
        <v>3.3138402999999997E-2</v>
      </c>
      <c r="H16" s="19">
        <v>7.0623795000000003E-2</v>
      </c>
      <c r="I16" s="19">
        <v>8.4642665500000006E-2</v>
      </c>
      <c r="J16" s="19">
        <v>0.16267790600000001</v>
      </c>
      <c r="K16" s="19">
        <v>0.15164244700000001</v>
      </c>
      <c r="L16" s="19">
        <v>0.112458822</v>
      </c>
      <c r="M16" s="19">
        <v>6.3034185000000006E-2</v>
      </c>
      <c r="N16" s="19">
        <v>5.0827022999999999E-2</v>
      </c>
      <c r="O16" s="19">
        <v>7.8836359999999994E-2</v>
      </c>
      <c r="P16" s="19">
        <v>2.0588934999999999E-2</v>
      </c>
      <c r="Q16" s="19">
        <v>0.12634425899999999</v>
      </c>
      <c r="R16" s="19">
        <v>7.8634559999999996E-3</v>
      </c>
      <c r="S16" s="19">
        <v>0</v>
      </c>
      <c r="T16" s="19">
        <v>5.1561460000000003E-3</v>
      </c>
      <c r="U16" s="19">
        <v>1.733577E-3</v>
      </c>
      <c r="V16" s="19">
        <v>1.2977793E-2</v>
      </c>
      <c r="W16" s="18" t="s">
        <v>143</v>
      </c>
      <c r="X16" s="19" t="str">
        <f t="shared" si="14"/>
        <v>0.00000 - 0.16268</v>
      </c>
      <c r="Y16" s="19">
        <f t="shared" si="15"/>
        <v>6.3091081124999976E-2</v>
      </c>
      <c r="Z16">
        <f t="shared" si="16"/>
        <v>6.2482850599999994E-2</v>
      </c>
      <c r="AA16">
        <f t="shared" si="17"/>
        <v>0.1164091271</v>
      </c>
      <c r="AB16">
        <f t="shared" si="18"/>
        <v>6.7926152399999995E-2</v>
      </c>
      <c r="AC16">
        <f t="shared" si="19"/>
        <v>5.5461944000000001E-3</v>
      </c>
    </row>
    <row r="17" spans="1:35" x14ac:dyDescent="0.2">
      <c r="A17" s="31"/>
      <c r="B17" s="18" t="s">
        <v>144</v>
      </c>
      <c r="C17" s="19">
        <v>6.2872793999999996E-2</v>
      </c>
      <c r="D17" s="19">
        <v>0.23365794000000001</v>
      </c>
      <c r="E17" s="19">
        <v>0.30527434799999997</v>
      </c>
      <c r="F17" s="19">
        <v>0.30800346000000001</v>
      </c>
      <c r="G17" s="19">
        <v>0.234112072</v>
      </c>
      <c r="H17" s="19">
        <v>6.5182929000000001E-2</v>
      </c>
      <c r="I17" s="19">
        <v>0.1063064728</v>
      </c>
      <c r="J17" s="19">
        <v>0.11048862499999999</v>
      </c>
      <c r="K17" s="19">
        <v>0.19207226999999999</v>
      </c>
      <c r="L17" s="19">
        <v>5.9058825000000002E-2</v>
      </c>
      <c r="M17" s="19">
        <v>0</v>
      </c>
      <c r="N17" s="19">
        <v>0</v>
      </c>
      <c r="O17" s="19">
        <v>2.5915730000000001E-2</v>
      </c>
      <c r="P17" s="19">
        <v>1.569219E-3</v>
      </c>
      <c r="Q17" s="19">
        <v>0</v>
      </c>
      <c r="R17" s="19">
        <v>1.9506078E-2</v>
      </c>
      <c r="S17" s="19">
        <v>0.129565129</v>
      </c>
      <c r="T17" s="19">
        <v>1.9284411000000001E-2</v>
      </c>
      <c r="U17" s="19">
        <v>5.692534E-3</v>
      </c>
      <c r="V17" s="19">
        <v>2.7029906999999999E-2</v>
      </c>
      <c r="W17" s="18" t="s">
        <v>144</v>
      </c>
      <c r="X17" s="19" t="str">
        <f t="shared" si="14"/>
        <v>0.00000 - 0.30800</v>
      </c>
      <c r="Y17" s="19">
        <f t="shared" si="15"/>
        <v>9.5279637189999974E-2</v>
      </c>
      <c r="Z17" s="32">
        <f t="shared" si="16"/>
        <v>0.22878412279999999</v>
      </c>
      <c r="AA17" s="32">
        <f t="shared" si="17"/>
        <v>0.10662182436000001</v>
      </c>
      <c r="AB17" s="32">
        <f t="shared" si="18"/>
        <v>5.4969898000000001E-3</v>
      </c>
      <c r="AC17" s="32">
        <f t="shared" si="19"/>
        <v>4.0215611800000002E-2</v>
      </c>
      <c r="AD17" s="32"/>
      <c r="AE17" s="32"/>
      <c r="AF17" s="32"/>
      <c r="AG17" s="32"/>
      <c r="AH17" s="32"/>
      <c r="AI17" s="32"/>
    </row>
    <row r="18" spans="1:35" x14ac:dyDescent="0.2">
      <c r="A18" s="31"/>
      <c r="B18" s="19" t="s">
        <v>233</v>
      </c>
      <c r="C18" s="19">
        <v>0.376993774</v>
      </c>
      <c r="D18" s="19">
        <v>0.56898267000000002</v>
      </c>
      <c r="E18" s="19">
        <v>0.96927171400000001</v>
      </c>
      <c r="F18" s="19">
        <v>0.71021226000000004</v>
      </c>
      <c r="G18" s="19">
        <v>0.432990557</v>
      </c>
      <c r="H18" s="19">
        <v>0.34733946100000002</v>
      </c>
      <c r="I18" s="19">
        <v>0.62518125049999995</v>
      </c>
      <c r="J18" s="19">
        <v>1.080000015</v>
      </c>
      <c r="K18" s="19">
        <v>1.39417346</v>
      </c>
      <c r="L18" s="19">
        <v>0.72754701600000005</v>
      </c>
      <c r="M18" s="19">
        <v>6.3034185000000006E-2</v>
      </c>
      <c r="N18" s="19">
        <v>6.8163598000000006E-2</v>
      </c>
      <c r="O18" s="19">
        <v>0.10475209000000001</v>
      </c>
      <c r="P18" s="19">
        <v>4.3121589000000002E-2</v>
      </c>
      <c r="Q18" s="19">
        <v>0.14016045399999999</v>
      </c>
      <c r="R18" s="19">
        <v>6.0907159000000002E-2</v>
      </c>
      <c r="S18" s="19">
        <v>0.183607768</v>
      </c>
      <c r="T18" s="19">
        <v>0.12818537199999999</v>
      </c>
      <c r="U18" s="19">
        <v>8.6246624999999993E-2</v>
      </c>
      <c r="V18" s="19">
        <v>5.9257071000000001E-2</v>
      </c>
      <c r="W18" s="18" t="s">
        <v>197</v>
      </c>
      <c r="X18" s="19" t="str">
        <f t="shared" si="14"/>
        <v>0.04312 - 1.39417</v>
      </c>
      <c r="Y18" s="19">
        <f t="shared" si="15"/>
        <v>0.40850640442500002</v>
      </c>
      <c r="Z18" s="32">
        <f t="shared" si="16"/>
        <v>0.6116901950000001</v>
      </c>
      <c r="AA18" s="32">
        <f t="shared" si="17"/>
        <v>0.83484824050000006</v>
      </c>
      <c r="AB18" s="32">
        <f t="shared" si="18"/>
        <v>8.3846383200000013E-2</v>
      </c>
      <c r="AC18" s="32">
        <f t="shared" si="19"/>
        <v>0.10364079900000001</v>
      </c>
      <c r="AD18" s="32"/>
      <c r="AE18" s="32"/>
      <c r="AF18" s="32"/>
      <c r="AG18" s="32"/>
      <c r="AH18" s="32"/>
      <c r="AI18" s="32"/>
    </row>
    <row r="19" spans="1:35" x14ac:dyDescent="0.2">
      <c r="A19" s="24" t="s">
        <v>187</v>
      </c>
      <c r="B19" s="19" t="s">
        <v>146</v>
      </c>
      <c r="C19" s="19">
        <v>2.568864107</v>
      </c>
      <c r="D19" s="19">
        <v>5.5699855400000002</v>
      </c>
      <c r="E19" s="19">
        <v>5.0815600119999997</v>
      </c>
      <c r="F19" s="19">
        <v>3.9191877399999999</v>
      </c>
      <c r="G19" s="19">
        <v>2.2891564780000002</v>
      </c>
      <c r="H19" s="19">
        <v>2.7261377269999998</v>
      </c>
      <c r="I19" s="19">
        <v>3.163707703</v>
      </c>
      <c r="J19" s="19">
        <v>3.2640913189999998</v>
      </c>
      <c r="K19" s="19">
        <v>3.206276855</v>
      </c>
      <c r="L19" s="19">
        <v>2.323024325</v>
      </c>
      <c r="M19" s="19">
        <v>0.29318767800000001</v>
      </c>
      <c r="N19" s="19">
        <v>3.1695110799999999</v>
      </c>
      <c r="O19" s="19">
        <v>7.7881958300000003</v>
      </c>
      <c r="P19" s="19">
        <v>5.6573857329999999</v>
      </c>
      <c r="Q19" s="19">
        <v>1.0710202129999999</v>
      </c>
      <c r="R19" s="19">
        <v>0.67243432599999997</v>
      </c>
      <c r="S19" s="19">
        <v>1.3917519739999999</v>
      </c>
      <c r="T19" s="19">
        <v>0.94907890500000003</v>
      </c>
      <c r="U19" s="19">
        <v>1.113510161</v>
      </c>
      <c r="V19" s="19">
        <v>0.89145162499999997</v>
      </c>
      <c r="W19" s="18" t="s">
        <v>146</v>
      </c>
      <c r="X19" s="19" t="str">
        <f t="shared" si="14"/>
        <v>0.29319 - 7.78820</v>
      </c>
      <c r="Y19" s="19">
        <f t="shared" si="15"/>
        <v>2.8554759665500002</v>
      </c>
      <c r="Z19" s="32">
        <f t="shared" si="16"/>
        <v>3.8857507754000005</v>
      </c>
      <c r="AA19" s="32">
        <f t="shared" si="17"/>
        <v>2.9366475858000003</v>
      </c>
      <c r="AB19" s="32">
        <f t="shared" si="18"/>
        <v>3.5958601068</v>
      </c>
      <c r="AC19" s="32">
        <f t="shared" si="19"/>
        <v>1.0036453982</v>
      </c>
      <c r="AD19" s="32"/>
      <c r="AE19" s="32"/>
      <c r="AF19" s="32"/>
      <c r="AG19" s="32"/>
      <c r="AH19" s="32"/>
      <c r="AI19" s="32"/>
    </row>
    <row r="20" spans="1:35" x14ac:dyDescent="0.2">
      <c r="A20" s="25" t="s">
        <v>188</v>
      </c>
      <c r="B20" s="19" t="s">
        <v>189</v>
      </c>
      <c r="C20" s="19">
        <v>0.34141556899999997</v>
      </c>
      <c r="D20" s="19">
        <v>0.55120882999999998</v>
      </c>
      <c r="E20" s="19">
        <v>0.77864671699999999</v>
      </c>
      <c r="F20" s="19">
        <v>0.4872629</v>
      </c>
      <c r="G20" s="19">
        <v>0.220058323</v>
      </c>
      <c r="H20" s="19">
        <v>0.61990012500000002</v>
      </c>
      <c r="I20" s="19">
        <v>0.62604018400000006</v>
      </c>
      <c r="J20" s="19">
        <v>0.86911353700000005</v>
      </c>
      <c r="K20" s="19">
        <v>1.0191906260000001</v>
      </c>
      <c r="L20" s="19">
        <v>0.57698758699999997</v>
      </c>
      <c r="M20" s="19">
        <v>9.8232268999999997E-2</v>
      </c>
      <c r="N20" s="19">
        <v>0.72548076399999994</v>
      </c>
      <c r="O20" s="19">
        <v>1.0742433899999999</v>
      </c>
      <c r="P20" s="19">
        <v>0.324317472</v>
      </c>
      <c r="Q20" s="19">
        <v>0.50068539300000003</v>
      </c>
      <c r="R20" s="19">
        <v>0.309074128</v>
      </c>
      <c r="S20" s="19">
        <v>0.40970130500000002</v>
      </c>
      <c r="T20" s="19">
        <v>0.39063510299999998</v>
      </c>
      <c r="U20" s="19">
        <v>0.56550123299999999</v>
      </c>
      <c r="V20" s="19">
        <v>0.571139548</v>
      </c>
      <c r="W20" s="19" t="s">
        <v>189</v>
      </c>
      <c r="X20" s="19" t="str">
        <f t="shared" si="14"/>
        <v>0.09823 - 1.07424</v>
      </c>
      <c r="Y20" s="19">
        <f t="shared" si="15"/>
        <v>0.55294175015000002</v>
      </c>
      <c r="Z20" s="32">
        <f t="shared" si="16"/>
        <v>0.47571846779999999</v>
      </c>
      <c r="AA20" s="32">
        <f t="shared" si="17"/>
        <v>0.74224641180000017</v>
      </c>
      <c r="AB20" s="32">
        <f t="shared" si="18"/>
        <v>0.54459185759999995</v>
      </c>
      <c r="AC20" s="32">
        <f t="shared" si="19"/>
        <v>0.44921026340000003</v>
      </c>
      <c r="AD20" s="32"/>
      <c r="AE20" s="32"/>
      <c r="AF20" s="32"/>
      <c r="AG20" s="32"/>
      <c r="AH20" s="32"/>
      <c r="AI20" s="32"/>
    </row>
    <row r="21" spans="1:35" x14ac:dyDescent="0.2">
      <c r="A21" s="25" t="s">
        <v>190</v>
      </c>
      <c r="B21" s="19" t="s">
        <v>191</v>
      </c>
      <c r="C21" s="19">
        <v>3.4696742270000001</v>
      </c>
      <c r="D21" s="19">
        <v>2.6234952200000001</v>
      </c>
      <c r="E21" s="19">
        <v>2.9382294899999999</v>
      </c>
      <c r="F21" s="19">
        <v>3.3663998099999999</v>
      </c>
      <c r="G21" s="19">
        <v>3.136577967</v>
      </c>
      <c r="H21" s="19">
        <v>3.442738818</v>
      </c>
      <c r="I21" s="19">
        <v>1.9936069489999999</v>
      </c>
      <c r="J21" s="19">
        <v>2.6026808749999999</v>
      </c>
      <c r="K21" s="19">
        <v>4.1756555469999999</v>
      </c>
      <c r="L21" s="19">
        <v>2.1852982440000002</v>
      </c>
      <c r="M21" s="19">
        <v>1.2201873519999999</v>
      </c>
      <c r="N21" s="19">
        <v>2.3323119129999998</v>
      </c>
      <c r="O21" s="19">
        <v>2.2084103800000001</v>
      </c>
      <c r="P21" s="19">
        <v>3.0970163679999998</v>
      </c>
      <c r="Q21" s="19">
        <v>2.8791356979999998</v>
      </c>
      <c r="R21" s="19">
        <v>1.56923177</v>
      </c>
      <c r="S21" s="19">
        <v>1.0196039750000001</v>
      </c>
      <c r="T21" s="19">
        <v>1.209800515</v>
      </c>
      <c r="U21" s="19">
        <v>2.0621354190000001</v>
      </c>
      <c r="V21" s="19">
        <v>1.940564408</v>
      </c>
      <c r="W21" s="19" t="s">
        <v>191</v>
      </c>
      <c r="X21" s="19" t="str">
        <f t="shared" si="14"/>
        <v>1.01960 - 4.17566</v>
      </c>
      <c r="Y21" s="19">
        <f t="shared" si="15"/>
        <v>2.4736377472499997</v>
      </c>
      <c r="Z21" s="32">
        <f t="shared" si="16"/>
        <v>3.1068753428</v>
      </c>
      <c r="AA21" s="32">
        <f t="shared" si="17"/>
        <v>2.8799960865999998</v>
      </c>
      <c r="AB21" s="32">
        <f t="shared" si="18"/>
        <v>2.3474123421999997</v>
      </c>
      <c r="AC21" s="32">
        <f t="shared" si="19"/>
        <v>1.5602672174000001</v>
      </c>
      <c r="AD21" s="32"/>
      <c r="AE21" s="32"/>
      <c r="AF21" s="32"/>
      <c r="AG21" s="32"/>
      <c r="AH21" s="32"/>
      <c r="AI21" s="32"/>
    </row>
    <row r="22" spans="1:35" x14ac:dyDescent="0.2">
      <c r="A22" s="25" t="s">
        <v>192</v>
      </c>
      <c r="B22" s="19" t="s">
        <v>193</v>
      </c>
      <c r="C22" s="19">
        <v>1.2426E-3</v>
      </c>
      <c r="D22" s="19">
        <v>1.422257E-2</v>
      </c>
      <c r="E22" s="19">
        <v>7.42692E-3</v>
      </c>
      <c r="F22" s="19">
        <v>0</v>
      </c>
      <c r="G22" s="19">
        <v>0</v>
      </c>
      <c r="H22" s="19">
        <v>0</v>
      </c>
      <c r="I22" s="19">
        <v>0</v>
      </c>
      <c r="J22" s="19">
        <v>2.8568830000000002E-3</v>
      </c>
      <c r="K22" s="19">
        <v>2.9044717000000001E-2</v>
      </c>
      <c r="L22" s="19">
        <v>2.1351342999999998E-2</v>
      </c>
      <c r="M22" s="19">
        <v>0</v>
      </c>
      <c r="N22" s="19">
        <v>0</v>
      </c>
      <c r="O22" s="19">
        <v>0</v>
      </c>
      <c r="P22" s="19">
        <v>0</v>
      </c>
      <c r="Q22" s="19">
        <v>0</v>
      </c>
      <c r="R22" s="19">
        <v>2.082759E-3</v>
      </c>
      <c r="S22" s="19">
        <v>2.0440752E-2</v>
      </c>
      <c r="T22" s="19">
        <v>2.7192618000000002E-2</v>
      </c>
      <c r="U22" s="19">
        <v>7.1515889999999999E-3</v>
      </c>
      <c r="V22" s="19">
        <v>0</v>
      </c>
      <c r="W22" s="19" t="s">
        <v>193</v>
      </c>
      <c r="X22" s="19" t="str">
        <f t="shared" si="14"/>
        <v>0.00000 - 0.02904</v>
      </c>
      <c r="Y22" s="19">
        <f t="shared" si="15"/>
        <v>6.6506375499999996E-3</v>
      </c>
      <c r="Z22" s="32">
        <f t="shared" si="16"/>
        <v>4.5784179999999999E-3</v>
      </c>
      <c r="AA22" s="32">
        <f t="shared" si="17"/>
        <v>1.06505886E-2</v>
      </c>
      <c r="AB22" s="32">
        <f t="shared" si="18"/>
        <v>0</v>
      </c>
      <c r="AC22" s="32">
        <f t="shared" si="19"/>
        <v>1.1373543599999999E-2</v>
      </c>
      <c r="AD22" s="32"/>
      <c r="AE22" s="32"/>
      <c r="AF22" s="32"/>
      <c r="AG22" s="32"/>
      <c r="AH22" s="32"/>
      <c r="AI22" s="32"/>
    </row>
    <row r="23" spans="1:35" x14ac:dyDescent="0.2">
      <c r="A23" s="25" t="s">
        <v>192</v>
      </c>
      <c r="B23" s="19" t="s">
        <v>194</v>
      </c>
      <c r="C23" s="19">
        <v>1.70039268</v>
      </c>
      <c r="D23" s="19">
        <v>2.5088836200000002</v>
      </c>
      <c r="E23" s="19">
        <v>3.535729914</v>
      </c>
      <c r="F23" s="19">
        <v>2.7550200600000001</v>
      </c>
      <c r="G23" s="19">
        <v>2.0367842679999999</v>
      </c>
      <c r="H23" s="19">
        <v>2.067484238</v>
      </c>
      <c r="I23" s="19">
        <v>2.7001987839999999</v>
      </c>
      <c r="J23" s="19">
        <v>3.9091625200000002</v>
      </c>
      <c r="K23" s="19">
        <v>4.2201390500000002</v>
      </c>
      <c r="L23" s="19">
        <v>3.1524635929999998</v>
      </c>
      <c r="M23" s="19">
        <v>1.502078923</v>
      </c>
      <c r="N23" s="19">
        <v>3.0238159790000001</v>
      </c>
      <c r="O23" s="19">
        <v>2.9900743699999999</v>
      </c>
      <c r="P23" s="19">
        <v>2.6227771180000001</v>
      </c>
      <c r="Q23" s="19">
        <v>3.5867415509999998</v>
      </c>
      <c r="R23" s="19">
        <v>1.4488618440000001</v>
      </c>
      <c r="S23" s="19">
        <v>1.9366594020000001</v>
      </c>
      <c r="T23" s="19">
        <v>2.8116080490000002</v>
      </c>
      <c r="U23" s="19">
        <v>2.5059953849999999</v>
      </c>
      <c r="V23" s="19">
        <v>3.0128935669999999</v>
      </c>
      <c r="W23" s="19" t="s">
        <v>194</v>
      </c>
      <c r="X23" s="19" t="str">
        <f t="shared" si="14"/>
        <v>1.44886 - 4.22014</v>
      </c>
      <c r="Y23" s="19">
        <f t="shared" si="15"/>
        <v>2.7013882457500005</v>
      </c>
      <c r="Z23" s="32">
        <f t="shared" si="16"/>
        <v>2.5073621083999997</v>
      </c>
      <c r="AA23" s="32">
        <f t="shared" si="17"/>
        <v>3.2098896369999999</v>
      </c>
      <c r="AB23" s="32">
        <f t="shared" si="18"/>
        <v>2.7450975881999997</v>
      </c>
      <c r="AC23" s="32">
        <f t="shared" si="19"/>
        <v>2.3432036494000004</v>
      </c>
      <c r="AD23" s="32"/>
      <c r="AE23" s="32"/>
      <c r="AF23" s="32"/>
      <c r="AG23" s="32"/>
      <c r="AH23" s="32"/>
      <c r="AI23" s="32"/>
    </row>
    <row r="24" spans="1:35" ht="19" x14ac:dyDescent="0.2">
      <c r="A24" s="24" t="s">
        <v>147</v>
      </c>
      <c r="B24" s="18" t="s">
        <v>148</v>
      </c>
      <c r="C24" s="19">
        <v>0.93490964300000001</v>
      </c>
      <c r="D24" s="19">
        <v>1.50878661</v>
      </c>
      <c r="E24" s="19">
        <v>0.96394027699999996</v>
      </c>
      <c r="F24" s="19">
        <v>0.79558487</v>
      </c>
      <c r="G24" s="19">
        <v>0.67557456400000004</v>
      </c>
      <c r="H24" s="19">
        <v>0.58803219299999998</v>
      </c>
      <c r="I24" s="19">
        <v>0.84556652409999999</v>
      </c>
      <c r="J24" s="19">
        <v>1.0175981160000001</v>
      </c>
      <c r="K24" s="19">
        <v>1.4885243210000001</v>
      </c>
      <c r="L24" s="19">
        <v>1.0027945009999999</v>
      </c>
      <c r="M24" s="19">
        <v>1.9890524E-2</v>
      </c>
      <c r="N24" s="19">
        <v>0.71780840199999996</v>
      </c>
      <c r="O24" s="19">
        <v>0.75855043</v>
      </c>
      <c r="P24" s="19">
        <v>0.65748911899999996</v>
      </c>
      <c r="Q24" s="19">
        <v>0.14871145499999999</v>
      </c>
      <c r="R24" s="19">
        <v>1.6908877999999999E-2</v>
      </c>
      <c r="S24" s="19">
        <v>9.5118456000000004E-2</v>
      </c>
      <c r="T24" s="19">
        <v>0.116281328</v>
      </c>
      <c r="U24" s="19">
        <v>0.18359795500000001</v>
      </c>
      <c r="V24" s="19">
        <v>4.1966033999999999E-2</v>
      </c>
      <c r="W24" s="18" t="s">
        <v>148</v>
      </c>
      <c r="X24" s="19" t="str">
        <f t="shared" si="14"/>
        <v>0.01691 - 1.50879</v>
      </c>
      <c r="Y24" s="19">
        <f t="shared" si="15"/>
        <v>0.62888171000499993</v>
      </c>
      <c r="Z24" s="32">
        <f t="shared" si="16"/>
        <v>0.97575919280000001</v>
      </c>
      <c r="AA24" s="32">
        <f t="shared" si="17"/>
        <v>0.98850313101999987</v>
      </c>
      <c r="AB24" s="32">
        <f t="shared" si="18"/>
        <v>0.46048998599999996</v>
      </c>
      <c r="AC24" s="32">
        <f t="shared" si="19"/>
        <v>9.0774530199999995E-2</v>
      </c>
      <c r="AD24" s="32"/>
      <c r="AE24" s="32"/>
      <c r="AF24" s="32"/>
      <c r="AG24" s="32"/>
      <c r="AH24" s="32"/>
      <c r="AI24" s="32"/>
    </row>
    <row r="25" spans="1:35" x14ac:dyDescent="0.2">
      <c r="A25" s="31" t="s">
        <v>149</v>
      </c>
      <c r="B25" s="18" t="s">
        <v>150</v>
      </c>
      <c r="C25" s="19">
        <v>9.5918583000000002E-2</v>
      </c>
      <c r="D25" s="19">
        <v>3.3883110000000001E-2</v>
      </c>
      <c r="E25" s="19">
        <v>0.16001987400000001</v>
      </c>
      <c r="F25" s="19">
        <v>0.28416226999999999</v>
      </c>
      <c r="G25" s="19">
        <v>1.9341005000000001E-2</v>
      </c>
      <c r="H25" s="19">
        <v>0.100636033</v>
      </c>
      <c r="I25" s="19">
        <v>4.2468681000000001E-2</v>
      </c>
      <c r="J25" s="19">
        <v>8.9150134000000006E-2</v>
      </c>
      <c r="K25" s="19">
        <v>0.184221406</v>
      </c>
      <c r="L25" s="19">
        <v>3.8744392000000002E-2</v>
      </c>
      <c r="M25" s="19">
        <v>0</v>
      </c>
      <c r="N25" s="19">
        <v>0.114533333</v>
      </c>
      <c r="O25" s="19">
        <v>9.6989039999999999E-2</v>
      </c>
      <c r="P25" s="19">
        <v>3.4140943E-2</v>
      </c>
      <c r="Q25" s="19">
        <v>0</v>
      </c>
      <c r="R25" s="19">
        <v>5.3131180000000004E-3</v>
      </c>
      <c r="S25" s="19">
        <v>0</v>
      </c>
      <c r="T25" s="19">
        <v>5.84857E-3</v>
      </c>
      <c r="U25" s="19">
        <v>2.0584475000000001E-2</v>
      </c>
      <c r="V25" s="19">
        <v>1.6016585999999999E-2</v>
      </c>
      <c r="W25" s="18" t="s">
        <v>150</v>
      </c>
      <c r="X25" s="19" t="str">
        <f t="shared" si="14"/>
        <v>0.00000 - 0.28416</v>
      </c>
      <c r="Y25" s="19">
        <f t="shared" si="15"/>
        <v>6.7098577649999977E-2</v>
      </c>
      <c r="Z25" s="32">
        <f t="shared" si="16"/>
        <v>0.1186649684</v>
      </c>
      <c r="AA25" s="32">
        <f t="shared" si="17"/>
        <v>9.1044129200000004E-2</v>
      </c>
      <c r="AB25" s="32">
        <f t="shared" si="18"/>
        <v>4.9132663199999996E-2</v>
      </c>
      <c r="AC25" s="32">
        <f t="shared" si="19"/>
        <v>9.5525498000000007E-3</v>
      </c>
      <c r="AD25" s="32"/>
      <c r="AE25" s="32"/>
      <c r="AF25" s="32"/>
      <c r="AG25" s="32"/>
      <c r="AH25" s="32"/>
      <c r="AI25" s="32"/>
    </row>
    <row r="26" spans="1:35" x14ac:dyDescent="0.2">
      <c r="A26" s="31"/>
      <c r="B26" s="18" t="s">
        <v>151</v>
      </c>
      <c r="C26" s="19">
        <v>0.56548431899999996</v>
      </c>
      <c r="D26" s="19">
        <v>0.42597958000000002</v>
      </c>
      <c r="E26" s="19">
        <v>1.1718833900000001</v>
      </c>
      <c r="F26" s="19">
        <v>0.75311921000000004</v>
      </c>
      <c r="G26" s="19">
        <v>0.37119744199999999</v>
      </c>
      <c r="H26" s="19">
        <v>0.59850404899999998</v>
      </c>
      <c r="I26" s="19">
        <v>0.55704045400000002</v>
      </c>
      <c r="J26" s="19">
        <v>0.77374214200000002</v>
      </c>
      <c r="K26" s="19">
        <v>0.83852408199999995</v>
      </c>
      <c r="L26" s="19">
        <v>0.613579714</v>
      </c>
      <c r="M26" s="19">
        <v>5.9380378999999997E-2</v>
      </c>
      <c r="N26" s="19">
        <v>0.11898808900000001</v>
      </c>
      <c r="O26" s="19">
        <v>0.26343541999999998</v>
      </c>
      <c r="P26" s="19">
        <v>0.20648118200000001</v>
      </c>
      <c r="Q26" s="19">
        <v>9.6278740000000002E-2</v>
      </c>
      <c r="R26" s="19">
        <v>0.22545552299999999</v>
      </c>
      <c r="S26" s="19">
        <v>0.321482137</v>
      </c>
      <c r="T26" s="19">
        <v>0.14974572799999999</v>
      </c>
      <c r="U26" s="19">
        <v>0.214805844</v>
      </c>
      <c r="V26" s="19">
        <v>0.22398296300000001</v>
      </c>
      <c r="W26" s="18" t="s">
        <v>151</v>
      </c>
      <c r="X26" s="19" t="str">
        <f t="shared" si="14"/>
        <v>0.05938 - 1.17188</v>
      </c>
      <c r="Y26" s="19">
        <f t="shared" si="15"/>
        <v>0.42745451935000001</v>
      </c>
      <c r="Z26" s="32">
        <f t="shared" si="16"/>
        <v>0.65753278819999994</v>
      </c>
      <c r="AA26" s="32">
        <f t="shared" si="17"/>
        <v>0.6762780881999999</v>
      </c>
      <c r="AB26" s="32">
        <f t="shared" si="18"/>
        <v>0.148912762</v>
      </c>
      <c r="AC26" s="32">
        <f t="shared" si="19"/>
        <v>0.22709443899999998</v>
      </c>
      <c r="AD26" s="32"/>
      <c r="AE26" s="32"/>
      <c r="AF26" s="32"/>
      <c r="AG26" s="32"/>
      <c r="AH26" s="32"/>
      <c r="AI26" s="32"/>
    </row>
    <row r="27" spans="1:35" x14ac:dyDescent="0.2">
      <c r="A27" s="31"/>
      <c r="B27" s="18" t="s">
        <v>195</v>
      </c>
      <c r="C27" s="19">
        <v>6.1129239000000002E-2</v>
      </c>
      <c r="D27" s="19">
        <v>5.5208229999999997E-2</v>
      </c>
      <c r="E27" s="19">
        <v>3.1631560000000003E-2</v>
      </c>
      <c r="F27" s="19">
        <v>6.2590060000000003E-2</v>
      </c>
      <c r="G27" s="19">
        <v>0</v>
      </c>
      <c r="H27" s="19">
        <v>2.1970903E-2</v>
      </c>
      <c r="I27" s="19">
        <v>2.8840752000000001E-2</v>
      </c>
      <c r="J27" s="19">
        <v>6.4997343999999999E-2</v>
      </c>
      <c r="K27" s="19">
        <v>1.8157138E-2</v>
      </c>
      <c r="L27" s="19">
        <v>2.1305358999999999E-2</v>
      </c>
      <c r="M27" s="19">
        <v>1.1118490999999999E-2</v>
      </c>
      <c r="N27" s="19">
        <v>0.13536989299999999</v>
      </c>
      <c r="O27" s="19">
        <v>5.3097459999999999E-2</v>
      </c>
      <c r="P27" s="19">
        <v>5.0097122000000001E-2</v>
      </c>
      <c r="Q27" s="19">
        <v>5.4739662000000001E-2</v>
      </c>
      <c r="R27" s="19">
        <v>3.0837328000000001E-2</v>
      </c>
      <c r="S27" s="19">
        <v>3.9517761999999998E-2</v>
      </c>
      <c r="T27" s="19">
        <v>3.1206088999999999E-2</v>
      </c>
      <c r="U27" s="19">
        <v>1.8579880999999999E-2</v>
      </c>
      <c r="V27" s="19">
        <v>8.2594998000000003E-2</v>
      </c>
      <c r="W27" s="18" t="s">
        <v>195</v>
      </c>
      <c r="X27" s="19" t="str">
        <f t="shared" si="14"/>
        <v>0.00000 - 0.13537</v>
      </c>
      <c r="Y27" s="19">
        <f t="shared" si="15"/>
        <v>4.364946355000001E-2</v>
      </c>
      <c r="Z27" s="32">
        <f t="shared" si="16"/>
        <v>4.21118178E-2</v>
      </c>
      <c r="AA27" s="32">
        <f t="shared" si="17"/>
        <v>3.1054299199999996E-2</v>
      </c>
      <c r="AB27" s="32">
        <f t="shared" si="18"/>
        <v>6.0884525600000003E-2</v>
      </c>
      <c r="AC27" s="32">
        <f t="shared" si="19"/>
        <v>4.0547211600000001E-2</v>
      </c>
      <c r="AD27" s="32"/>
      <c r="AE27" s="32"/>
      <c r="AF27" s="32"/>
      <c r="AG27" s="32"/>
      <c r="AH27" s="32"/>
      <c r="AI27" s="32"/>
    </row>
    <row r="28" spans="1:35" x14ac:dyDescent="0.2">
      <c r="A28" s="31"/>
      <c r="B28" s="18" t="s">
        <v>196</v>
      </c>
      <c r="C28" s="19">
        <v>0</v>
      </c>
      <c r="D28" s="19">
        <v>0</v>
      </c>
      <c r="E28" s="19">
        <v>0</v>
      </c>
      <c r="F28" s="19">
        <v>0</v>
      </c>
      <c r="G28" s="19">
        <v>0</v>
      </c>
      <c r="H28" s="19">
        <v>0</v>
      </c>
      <c r="I28" s="19">
        <v>0</v>
      </c>
      <c r="J28" s="19">
        <v>0</v>
      </c>
      <c r="K28" s="19">
        <v>0</v>
      </c>
      <c r="L28" s="19">
        <v>0</v>
      </c>
      <c r="M28" s="19">
        <v>0</v>
      </c>
      <c r="N28" s="19">
        <v>0</v>
      </c>
      <c r="O28" s="19">
        <v>0</v>
      </c>
      <c r="P28" s="19">
        <v>0</v>
      </c>
      <c r="Q28" s="19">
        <v>4.9099748999999998E-2</v>
      </c>
      <c r="R28" s="19">
        <v>0</v>
      </c>
      <c r="S28" s="19">
        <v>1.1039096E-2</v>
      </c>
      <c r="T28" s="19">
        <v>0</v>
      </c>
      <c r="U28" s="19">
        <v>0</v>
      </c>
      <c r="V28" s="19">
        <v>4.0431290000000003E-3</v>
      </c>
      <c r="W28" s="18" t="s">
        <v>196</v>
      </c>
      <c r="X28" s="19" t="str">
        <f t="shared" si="14"/>
        <v>0.00000 - 0.04910</v>
      </c>
      <c r="Y28" s="19">
        <f t="shared" si="15"/>
        <v>3.2090987000000003E-3</v>
      </c>
      <c r="Z28" s="32">
        <f t="shared" si="16"/>
        <v>0</v>
      </c>
      <c r="AA28" s="32">
        <f t="shared" si="17"/>
        <v>0</v>
      </c>
      <c r="AB28" s="32">
        <f t="shared" si="18"/>
        <v>9.8199498E-3</v>
      </c>
      <c r="AC28" s="32">
        <f t="shared" si="19"/>
        <v>3.0164450000000004E-3</v>
      </c>
      <c r="AD28" s="32"/>
      <c r="AE28" s="32"/>
      <c r="AF28" s="32"/>
      <c r="AG28" s="32"/>
      <c r="AH28" s="32"/>
      <c r="AI28" s="32"/>
    </row>
    <row r="29" spans="1:35" x14ac:dyDescent="0.2">
      <c r="A29" s="31"/>
      <c r="B29" s="18" t="s">
        <v>171</v>
      </c>
      <c r="C29" s="19">
        <f>SUM(C25:C28)</f>
        <v>0.72253214099999996</v>
      </c>
      <c r="D29" s="19">
        <f t="shared" ref="D29:V29" si="20">SUM(D25:D28)</f>
        <v>0.51507091999999999</v>
      </c>
      <c r="E29" s="19">
        <f t="shared" si="20"/>
        <v>1.3635348240000003</v>
      </c>
      <c r="F29" s="19">
        <f t="shared" si="20"/>
        <v>1.0998715400000001</v>
      </c>
      <c r="G29" s="19">
        <f t="shared" si="20"/>
        <v>0.39053844700000001</v>
      </c>
      <c r="H29" s="19">
        <f t="shared" si="20"/>
        <v>0.72111098500000004</v>
      </c>
      <c r="I29" s="19">
        <f t="shared" si="20"/>
        <v>0.62834988700000005</v>
      </c>
      <c r="J29" s="19">
        <f t="shared" si="20"/>
        <v>0.92788962000000008</v>
      </c>
      <c r="K29" s="19">
        <f t="shared" si="20"/>
        <v>1.0409026260000001</v>
      </c>
      <c r="L29" s="19">
        <f t="shared" si="20"/>
        <v>0.67362946499999998</v>
      </c>
      <c r="M29" s="19">
        <f t="shared" si="20"/>
        <v>7.0498869999999991E-2</v>
      </c>
      <c r="N29" s="19">
        <f t="shared" si="20"/>
        <v>0.368891315</v>
      </c>
      <c r="O29" s="19">
        <f t="shared" si="20"/>
        <v>0.41352191999999993</v>
      </c>
      <c r="P29" s="19">
        <f t="shared" si="20"/>
        <v>0.29071924700000001</v>
      </c>
      <c r="Q29" s="19">
        <f t="shared" si="20"/>
        <v>0.20011815099999999</v>
      </c>
      <c r="R29" s="19">
        <f t="shared" si="20"/>
        <v>0.26160596899999999</v>
      </c>
      <c r="S29" s="19">
        <f t="shared" si="20"/>
        <v>0.37203899500000004</v>
      </c>
      <c r="T29" s="19">
        <f t="shared" si="20"/>
        <v>0.18680038699999998</v>
      </c>
      <c r="U29" s="19">
        <f t="shared" si="20"/>
        <v>0.25397019999999998</v>
      </c>
      <c r="V29" s="19">
        <f t="shared" si="20"/>
        <v>0.32663767599999999</v>
      </c>
      <c r="W29" s="18" t="s">
        <v>171</v>
      </c>
      <c r="X29" s="19" t="str">
        <f>TEXT(MIN(C29:V29),"0.00000")&amp;" - "&amp;TEXT(MAX(C29:V29),"0.00000")</f>
        <v>0.07050 - 1.36353</v>
      </c>
      <c r="Y29" s="19">
        <f>AVERAGE(C29:V29)</f>
        <v>0.54141165925000001</v>
      </c>
      <c r="Z29" s="32">
        <f>AVERAGE(C29:G29)</f>
        <v>0.81830957440000007</v>
      </c>
      <c r="AA29" s="32">
        <f>AVERAGE(H29:L29)</f>
        <v>0.79837651660000009</v>
      </c>
      <c r="AB29" s="32">
        <f>AVERAGE(M29:Q29)</f>
        <v>0.26874990059999998</v>
      </c>
      <c r="AC29" s="32">
        <f>AVERAGE(R29:V29)</f>
        <v>0.28021064540000001</v>
      </c>
      <c r="AD29" s="32"/>
      <c r="AE29" s="32"/>
      <c r="AF29" s="32"/>
      <c r="AG29" s="32"/>
      <c r="AH29" s="32"/>
      <c r="AI29" s="32"/>
    </row>
    <row r="30" spans="1:35" x14ac:dyDescent="0.2">
      <c r="A30" s="24" t="s">
        <v>152</v>
      </c>
      <c r="B30" s="18" t="s">
        <v>153</v>
      </c>
      <c r="C30" s="19">
        <v>0</v>
      </c>
      <c r="D30" s="19">
        <v>1.0943319999999999E-2</v>
      </c>
      <c r="E30" s="19">
        <v>1.3166582E-2</v>
      </c>
      <c r="F30" s="19">
        <v>1.259005E-2</v>
      </c>
      <c r="G30" s="19">
        <v>0</v>
      </c>
      <c r="H30" s="19">
        <v>4.6798450000000002E-3</v>
      </c>
      <c r="I30" s="19">
        <v>7.127829E-4</v>
      </c>
      <c r="J30" s="19">
        <v>2.3144893999999999E-2</v>
      </c>
      <c r="K30" s="19">
        <v>6.7071976000000005E-2</v>
      </c>
      <c r="L30" s="19">
        <v>7.8733080000000007E-3</v>
      </c>
      <c r="M30" s="19">
        <v>0</v>
      </c>
      <c r="N30" s="19">
        <v>0</v>
      </c>
      <c r="O30" s="19">
        <v>0</v>
      </c>
      <c r="P30" s="19">
        <v>0</v>
      </c>
      <c r="Q30" s="19">
        <v>0</v>
      </c>
      <c r="R30" s="19">
        <v>0</v>
      </c>
      <c r="S30" s="19">
        <v>0</v>
      </c>
      <c r="T30" s="19">
        <v>5.9073499999999996E-3</v>
      </c>
      <c r="U30" s="19">
        <v>0</v>
      </c>
      <c r="V30" s="19">
        <v>0</v>
      </c>
      <c r="W30" s="18" t="s">
        <v>153</v>
      </c>
      <c r="X30" s="19" t="str">
        <f>TEXT(MIN(C30:V30),"0.00000")&amp;" - "&amp;TEXT(MAX(C30:V30),"0.00000")</f>
        <v>0.00000 - 0.06707</v>
      </c>
      <c r="Y30" s="19">
        <f>AVERAGE(C30:V30)</f>
        <v>7.3045053950000008E-3</v>
      </c>
      <c r="Z30" s="32">
        <f>AVERAGE(C30:G30)</f>
        <v>7.3399904000000004E-3</v>
      </c>
      <c r="AA30" s="32">
        <f>AVERAGE(H30:L30)</f>
        <v>2.069656118E-2</v>
      </c>
      <c r="AB30" s="32">
        <f>AVERAGE(M30:Q30)</f>
        <v>0</v>
      </c>
      <c r="AC30" s="32">
        <f>AVERAGE(R30:V30)</f>
        <v>1.18147E-3</v>
      </c>
      <c r="AD30" s="32"/>
      <c r="AE30" s="32"/>
      <c r="AF30" s="32"/>
      <c r="AG30" s="32"/>
      <c r="AH30" s="32"/>
      <c r="AI30" s="32"/>
    </row>
    <row r="31" spans="1:35" x14ac:dyDescent="0.2">
      <c r="A31" s="31" t="s">
        <v>154</v>
      </c>
      <c r="B31" s="18" t="s">
        <v>155</v>
      </c>
      <c r="C31" s="19">
        <v>9.0618819000000003E-2</v>
      </c>
      <c r="D31" s="19">
        <v>0.13141715000000001</v>
      </c>
      <c r="E31" s="19">
        <v>0.34960777500000001</v>
      </c>
      <c r="F31" s="19">
        <v>0.12423731</v>
      </c>
      <c r="G31" s="19">
        <v>9.7122833000000006E-2</v>
      </c>
      <c r="H31" s="19">
        <v>5.3863827000000003E-2</v>
      </c>
      <c r="I31" s="19">
        <v>0.10133615999999999</v>
      </c>
      <c r="J31" s="19">
        <v>0.341547182</v>
      </c>
      <c r="K31" s="19">
        <v>0.247551622</v>
      </c>
      <c r="L31" s="19">
        <v>0.146435229</v>
      </c>
      <c r="M31" s="19">
        <v>4.8004529999999997E-3</v>
      </c>
      <c r="N31" s="19">
        <v>2.0969518999999999E-2</v>
      </c>
      <c r="O31" s="19">
        <v>0.10344802</v>
      </c>
      <c r="P31" s="19">
        <v>5.5674110999999998E-2</v>
      </c>
      <c r="Q31" s="19">
        <v>8.3780436999999999E-2</v>
      </c>
      <c r="R31" s="19">
        <v>5.9133690000000003E-2</v>
      </c>
      <c r="S31" s="19">
        <v>1.2825826E-2</v>
      </c>
      <c r="T31" s="19">
        <v>2.1087768999999999E-2</v>
      </c>
      <c r="U31" s="19">
        <v>2.4921921999999999E-2</v>
      </c>
      <c r="V31" s="19">
        <v>1.9073796000000001E-2</v>
      </c>
      <c r="W31" s="18" t="s">
        <v>155</v>
      </c>
      <c r="X31" s="19" t="str">
        <f t="shared" ref="X31:X33" si="21">TEXT(MIN(C31:V31),"0.00000")&amp;" - "&amp;TEXT(MAX(C31:V31),"0.00000")</f>
        <v>0.00480 - 0.34961</v>
      </c>
      <c r="Y31" s="19">
        <f t="shared" ref="Y31:Y33" si="22">AVERAGE(C31:V31)</f>
        <v>0.1044726725</v>
      </c>
      <c r="Z31" s="32">
        <f t="shared" ref="Z31:Z33" si="23">AVERAGE(C31:G31)</f>
        <v>0.1586007774</v>
      </c>
      <c r="AA31" s="32">
        <f t="shared" ref="AA31:AA33" si="24">AVERAGE(H31:L31)</f>
        <v>0.17814680399999999</v>
      </c>
      <c r="AB31" s="32">
        <f t="shared" ref="AB31:AB33" si="25">AVERAGE(M31:Q31)</f>
        <v>5.3734508E-2</v>
      </c>
      <c r="AC31" s="32">
        <f t="shared" ref="AC31:AC33" si="26">AVERAGE(R31:V31)</f>
        <v>2.7408600599999999E-2</v>
      </c>
      <c r="AD31" s="32"/>
      <c r="AE31" s="32"/>
      <c r="AF31" s="32"/>
      <c r="AG31" s="32"/>
      <c r="AH31" s="32"/>
      <c r="AI31" s="32"/>
    </row>
    <row r="32" spans="1:35" x14ac:dyDescent="0.2">
      <c r="A32" s="31"/>
      <c r="B32" s="18" t="s">
        <v>156</v>
      </c>
      <c r="C32" s="19">
        <v>0.175307938</v>
      </c>
      <c r="D32" s="19">
        <v>0.12795820999999999</v>
      </c>
      <c r="E32" s="19">
        <v>7.3275820000000005E-2</v>
      </c>
      <c r="F32" s="19">
        <v>0.15299753999999999</v>
      </c>
      <c r="G32" s="19">
        <v>2.8443960000000001E-2</v>
      </c>
      <c r="H32" s="19">
        <v>0.13508943900000001</v>
      </c>
      <c r="I32" s="19">
        <v>0.1220212385</v>
      </c>
      <c r="J32" s="19">
        <v>8.9515672000000004E-2</v>
      </c>
      <c r="K32" s="19">
        <v>0.189872068</v>
      </c>
      <c r="L32" s="19">
        <v>2.8460943999999998E-2</v>
      </c>
      <c r="M32" s="19">
        <v>0</v>
      </c>
      <c r="N32" s="19">
        <v>0</v>
      </c>
      <c r="O32" s="19">
        <v>0</v>
      </c>
      <c r="P32" s="19">
        <v>3.6934350000000001E-3</v>
      </c>
      <c r="Q32" s="19">
        <v>0</v>
      </c>
      <c r="R32" s="19">
        <v>0</v>
      </c>
      <c r="S32" s="19">
        <v>0</v>
      </c>
      <c r="T32" s="19">
        <v>0</v>
      </c>
      <c r="U32" s="19">
        <v>3.1996411000000002E-2</v>
      </c>
      <c r="V32" s="19">
        <v>0</v>
      </c>
      <c r="W32" s="18" t="s">
        <v>156</v>
      </c>
      <c r="X32" s="19" t="str">
        <f t="shared" si="21"/>
        <v>0.00000 - 0.18987</v>
      </c>
      <c r="Y32" s="19">
        <f t="shared" si="22"/>
        <v>5.7931633775000005E-2</v>
      </c>
      <c r="Z32" s="32">
        <f t="shared" si="23"/>
        <v>0.11159669359999999</v>
      </c>
      <c r="AA32" s="32">
        <f t="shared" si="24"/>
        <v>0.1129918723</v>
      </c>
      <c r="AB32" s="32">
        <f t="shared" si="25"/>
        <v>7.3868700000000002E-4</v>
      </c>
      <c r="AC32" s="32">
        <f t="shared" si="26"/>
        <v>6.3992822000000001E-3</v>
      </c>
      <c r="AD32" s="32"/>
      <c r="AE32" s="32"/>
      <c r="AF32" s="32"/>
      <c r="AG32" s="32"/>
      <c r="AH32" s="32"/>
      <c r="AI32" s="32"/>
    </row>
    <row r="33" spans="1:29" x14ac:dyDescent="0.2">
      <c r="A33" s="31"/>
      <c r="B33" s="18" t="s">
        <v>157</v>
      </c>
      <c r="C33" s="19">
        <v>0.26054638000000002</v>
      </c>
      <c r="D33" s="19">
        <v>0.29997668999999999</v>
      </c>
      <c r="E33" s="19">
        <v>0.32734939699999999</v>
      </c>
      <c r="F33" s="19">
        <v>0.34940586000000001</v>
      </c>
      <c r="G33" s="19">
        <v>0.20194731299999999</v>
      </c>
      <c r="H33" s="19">
        <v>0.48632523100000002</v>
      </c>
      <c r="I33" s="19">
        <v>0.37055604440000001</v>
      </c>
      <c r="J33" s="19">
        <v>0.5907502</v>
      </c>
      <c r="K33" s="19">
        <v>0.96553252899999997</v>
      </c>
      <c r="L33" s="19">
        <v>0.62218787600000003</v>
      </c>
      <c r="M33" s="19">
        <v>0</v>
      </c>
      <c r="N33" s="19">
        <v>1.2365177999999999E-2</v>
      </c>
      <c r="O33" s="19">
        <v>0</v>
      </c>
      <c r="P33" s="19">
        <v>0</v>
      </c>
      <c r="Q33" s="19">
        <v>0</v>
      </c>
      <c r="R33" s="19">
        <v>9.2474489999999996E-3</v>
      </c>
      <c r="S33" s="19">
        <v>2.4904020999999998E-2</v>
      </c>
      <c r="T33" s="19">
        <v>2.0483514000000001E-2</v>
      </c>
      <c r="U33" s="19">
        <v>2.5376342999999999E-2</v>
      </c>
      <c r="V33" s="19">
        <v>4.7958900999999998E-2</v>
      </c>
      <c r="W33" s="18" t="s">
        <v>157</v>
      </c>
      <c r="X33" s="19" t="str">
        <f t="shared" si="21"/>
        <v>0.00000 - 0.96553</v>
      </c>
      <c r="Y33" s="19">
        <f t="shared" si="22"/>
        <v>0.23074564632000003</v>
      </c>
      <c r="Z33">
        <f t="shared" si="23"/>
        <v>0.28784512800000001</v>
      </c>
      <c r="AA33">
        <f t="shared" si="24"/>
        <v>0.60707037608000003</v>
      </c>
      <c r="AB33">
        <f t="shared" si="25"/>
        <v>2.4730355999999999E-3</v>
      </c>
      <c r="AC33">
        <f t="shared" si="26"/>
        <v>2.5594045599999997E-2</v>
      </c>
    </row>
    <row r="34" spans="1:29" x14ac:dyDescent="0.2">
      <c r="A34" s="31"/>
      <c r="B34" s="18" t="s">
        <v>198</v>
      </c>
      <c r="C34" s="19">
        <v>0.52647313699999998</v>
      </c>
      <c r="D34" s="19">
        <v>0.55935204999999999</v>
      </c>
      <c r="E34" s="19">
        <v>0.75023299199999993</v>
      </c>
      <c r="F34" s="19">
        <v>0.62664070999999999</v>
      </c>
      <c r="G34" s="19">
        <v>0.32751410599999997</v>
      </c>
      <c r="H34" s="19">
        <v>0.67527849700000009</v>
      </c>
      <c r="I34" s="19">
        <v>0.59391344290000003</v>
      </c>
      <c r="J34" s="19">
        <v>1.0218130539999999</v>
      </c>
      <c r="K34" s="19">
        <v>1.402956219</v>
      </c>
      <c r="L34" s="19">
        <v>0.79708404899999996</v>
      </c>
      <c r="M34" s="19">
        <v>4.8004529999999997E-3</v>
      </c>
      <c r="N34" s="19">
        <v>3.3334696999999996E-2</v>
      </c>
      <c r="O34" s="19">
        <v>0.10344802</v>
      </c>
      <c r="P34" s="19">
        <v>5.9367546E-2</v>
      </c>
      <c r="Q34" s="19">
        <v>8.3780436999999999E-2</v>
      </c>
      <c r="R34" s="19">
        <v>6.8381139000000007E-2</v>
      </c>
      <c r="S34" s="19">
        <v>3.7729846999999997E-2</v>
      </c>
      <c r="T34" s="19">
        <v>4.1571283000000001E-2</v>
      </c>
      <c r="U34" s="19">
        <v>8.2294675999999997E-2</v>
      </c>
      <c r="V34" s="19">
        <v>6.7032697000000002E-2</v>
      </c>
      <c r="W34" s="18" t="s">
        <v>198</v>
      </c>
      <c r="X34" s="19" t="str">
        <f>TEXT(MIN(C34:V34),"0.00000")&amp;" - "&amp;TEXT(MAX(C34:V34),"0.00000")</f>
        <v>0.00480 - 1.40296</v>
      </c>
      <c r="Y34" s="19">
        <f>AVERAGE(C34:V34)</f>
        <v>0.39314995259499991</v>
      </c>
      <c r="Z34">
        <f>AVERAGE(C34:G34)</f>
        <v>0.55804259899999997</v>
      </c>
      <c r="AA34">
        <f>AVERAGE(H34:L34)</f>
        <v>0.89820905238000004</v>
      </c>
      <c r="AB34">
        <f>AVERAGE(M34:Q34)</f>
        <v>5.6946230599999995E-2</v>
      </c>
      <c r="AC34">
        <f>AVERAGE(R34:V34)</f>
        <v>5.9401928400000005E-2</v>
      </c>
    </row>
    <row r="35" spans="1:29" x14ac:dyDescent="0.2">
      <c r="A35" s="24" t="s">
        <v>158</v>
      </c>
      <c r="B35" s="18" t="s">
        <v>159</v>
      </c>
      <c r="C35" s="19">
        <v>5.0325874E-2</v>
      </c>
      <c r="D35" s="19">
        <v>4.031933E-2</v>
      </c>
      <c r="E35" s="19">
        <v>0.106873894</v>
      </c>
      <c r="F35" s="19">
        <v>3.618917E-2</v>
      </c>
      <c r="G35" s="19">
        <v>1.5934483999999999E-2</v>
      </c>
      <c r="H35" s="19">
        <v>9.0140435000000005E-2</v>
      </c>
      <c r="I35" s="19">
        <v>6.4390048599999999E-2</v>
      </c>
      <c r="J35" s="19">
        <v>0.18450023400000001</v>
      </c>
      <c r="K35" s="19">
        <v>0.102137278</v>
      </c>
      <c r="L35" s="19">
        <v>9.3398600999999998E-2</v>
      </c>
      <c r="M35" s="19">
        <v>6.7590569999999997E-3</v>
      </c>
      <c r="N35" s="19">
        <v>3.5759609999999999E-3</v>
      </c>
      <c r="O35" s="19">
        <v>0</v>
      </c>
      <c r="P35" s="19">
        <v>6.2277599999999997E-3</v>
      </c>
      <c r="Q35" s="19">
        <v>0</v>
      </c>
      <c r="R35" s="19">
        <v>6.4489505000000003E-2</v>
      </c>
      <c r="S35" s="19">
        <v>1.5656394000000001E-2</v>
      </c>
      <c r="T35" s="19">
        <v>2.453578E-2</v>
      </c>
      <c r="U35" s="19">
        <v>6.3996327000000006E-2</v>
      </c>
      <c r="V35" s="19">
        <v>2.3929724999999999E-2</v>
      </c>
      <c r="W35" s="18" t="s">
        <v>159</v>
      </c>
      <c r="X35" s="19" t="str">
        <f>TEXT(MIN(C35:V35),"0.00000")&amp;" - "&amp;TEXT(MAX(C35:V35),"0.00000")</f>
        <v>0.00000 - 0.18450</v>
      </c>
      <c r="Y35" s="19">
        <f>AVERAGE(C35:V35)</f>
        <v>4.9668992880000006E-2</v>
      </c>
      <c r="Z35">
        <f>AVERAGE(C35:G35)</f>
        <v>4.99285504E-2</v>
      </c>
      <c r="AA35">
        <f>AVERAGE(H35:L35)</f>
        <v>0.10691331932000001</v>
      </c>
      <c r="AB35">
        <f>AVERAGE(M35:Q35)</f>
        <v>3.3125556000000002E-3</v>
      </c>
      <c r="AC35">
        <f>AVERAGE(R35:V35)</f>
        <v>3.8521546199999999E-2</v>
      </c>
    </row>
    <row r="36" spans="1:29" x14ac:dyDescent="0.2">
      <c r="A36" s="24" t="s">
        <v>160</v>
      </c>
      <c r="B36" s="19" t="s">
        <v>161</v>
      </c>
      <c r="C36" s="19">
        <v>0.34978901099999998</v>
      </c>
      <c r="D36" s="19">
        <v>0.36539078000000003</v>
      </c>
      <c r="E36" s="19">
        <v>0.44105865999999999</v>
      </c>
      <c r="F36" s="19">
        <v>0.34800091</v>
      </c>
      <c r="G36" s="19">
        <v>0.21884804899999999</v>
      </c>
      <c r="H36" s="19">
        <v>0.40468349599999998</v>
      </c>
      <c r="I36" s="19">
        <v>0.46644510500000003</v>
      </c>
      <c r="J36" s="19">
        <v>0.763091827</v>
      </c>
      <c r="K36" s="19">
        <v>0.59103948699999997</v>
      </c>
      <c r="L36" s="19">
        <v>0.48024562500000001</v>
      </c>
      <c r="M36" s="19">
        <v>1.4007063660000001</v>
      </c>
      <c r="N36" s="19">
        <v>1.5989714209999999</v>
      </c>
      <c r="O36" s="19">
        <v>1.7644797299999999</v>
      </c>
      <c r="P36" s="19">
        <v>1.2656423960000001</v>
      </c>
      <c r="Q36" s="19">
        <v>1.6334272860000001</v>
      </c>
      <c r="R36" s="19">
        <v>1.26683601</v>
      </c>
      <c r="S36" s="19">
        <v>0.60278182000000002</v>
      </c>
      <c r="T36" s="19">
        <v>0.495140527</v>
      </c>
      <c r="U36" s="19">
        <v>0.97862291700000004</v>
      </c>
      <c r="V36" s="19">
        <v>0.52911949199999997</v>
      </c>
      <c r="W36" s="18" t="s">
        <v>161</v>
      </c>
      <c r="X36" s="19" t="str">
        <f t="shared" ref="X36" si="27">TEXT(MIN(C36:V36),"0.00000")&amp;" - "&amp;TEXT(MAX(C36:V36),"0.00000")</f>
        <v>0.21885 - 1.76448</v>
      </c>
      <c r="Y36" s="19">
        <f t="shared" ref="Y36" si="28">AVERAGE(C36:V36)</f>
        <v>0.79821604575000005</v>
      </c>
      <c r="Z36">
        <f t="shared" ref="Z36" si="29">AVERAGE(C36:G36)</f>
        <v>0.34461748199999997</v>
      </c>
      <c r="AA36">
        <f t="shared" ref="AA36" si="30">AVERAGE(H36:L36)</f>
        <v>0.541101108</v>
      </c>
      <c r="AB36">
        <f t="shared" ref="AB36" si="31">AVERAGE(M36:Q36)</f>
        <v>1.5326454398</v>
      </c>
      <c r="AC36">
        <f t="shared" ref="AC36" si="32">AVERAGE(R36:V36)</f>
        <v>0.7745001532000001</v>
      </c>
    </row>
  </sheetData>
  <mergeCells count="4">
    <mergeCell ref="A12:A18"/>
    <mergeCell ref="A25:A29"/>
    <mergeCell ref="A31:A34"/>
    <mergeCell ref="A5:A1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DA15E-C8AF-B14A-8117-E5DE000FDF10}">
  <dimension ref="A1:V95"/>
  <sheetViews>
    <sheetView workbookViewId="0"/>
  </sheetViews>
  <sheetFormatPr baseColWidth="10" defaultRowHeight="16" x14ac:dyDescent="0.2"/>
  <cols>
    <col min="2" max="2" width="49.33203125" customWidth="1"/>
  </cols>
  <sheetData>
    <row r="1" spans="1:22" ht="19" x14ac:dyDescent="0.25">
      <c r="A1" s="13" t="s">
        <v>204</v>
      </c>
    </row>
    <row r="3" spans="1:22" x14ac:dyDescent="0.2">
      <c r="A3" s="26" t="s">
        <v>162</v>
      </c>
      <c r="B3" s="26" t="s">
        <v>173</v>
      </c>
      <c r="C3" s="26" t="s">
        <v>106</v>
      </c>
      <c r="D3" s="26" t="s">
        <v>107</v>
      </c>
      <c r="E3" s="26" t="s">
        <v>108</v>
      </c>
      <c r="F3" s="26" t="s">
        <v>109</v>
      </c>
      <c r="G3" s="26" t="s">
        <v>110</v>
      </c>
      <c r="H3" s="26" t="s">
        <v>111</v>
      </c>
      <c r="I3" s="26" t="s">
        <v>112</v>
      </c>
      <c r="J3" s="26" t="s">
        <v>113</v>
      </c>
      <c r="K3" s="26" t="s">
        <v>114</v>
      </c>
      <c r="L3" s="26" t="s">
        <v>115</v>
      </c>
      <c r="M3" s="26" t="s">
        <v>116</v>
      </c>
      <c r="N3" s="26" t="s">
        <v>117</v>
      </c>
      <c r="O3" s="26" t="s">
        <v>118</v>
      </c>
      <c r="P3" s="26" t="s">
        <v>119</v>
      </c>
      <c r="Q3" s="26" t="s">
        <v>120</v>
      </c>
      <c r="R3" s="26" t="s">
        <v>121</v>
      </c>
      <c r="S3" s="26" t="s">
        <v>122</v>
      </c>
      <c r="T3" s="26" t="s">
        <v>123</v>
      </c>
      <c r="U3" s="26" t="s">
        <v>124</v>
      </c>
      <c r="V3" s="26" t="s">
        <v>125</v>
      </c>
    </row>
    <row r="4" spans="1:22" x14ac:dyDescent="0.2">
      <c r="A4" t="s">
        <v>159</v>
      </c>
      <c r="B4" t="s">
        <v>207</v>
      </c>
      <c r="C4">
        <v>3.2763639999999999E-3</v>
      </c>
      <c r="D4">
        <v>3.1985185999999999E-2</v>
      </c>
      <c r="E4">
        <v>6.2995588999999991E-2</v>
      </c>
      <c r="F4">
        <v>1.9785033E-2</v>
      </c>
      <c r="G4">
        <v>1.5934485000000002E-2</v>
      </c>
      <c r="H4">
        <v>2.7720426999999999E-2</v>
      </c>
      <c r="I4">
        <v>4.8125421000000008E-2</v>
      </c>
      <c r="J4">
        <v>9.0343752999999999E-2</v>
      </c>
      <c r="K4">
        <v>5.6585252000000003E-2</v>
      </c>
      <c r="L4">
        <v>6.2265132000000001E-2</v>
      </c>
      <c r="M4">
        <v>6.7590569999999997E-3</v>
      </c>
      <c r="N4">
        <v>3.5759609999999999E-3</v>
      </c>
      <c r="O4">
        <v>0</v>
      </c>
      <c r="P4">
        <v>6.2277590000000002E-3</v>
      </c>
      <c r="Q4">
        <v>0</v>
      </c>
      <c r="R4">
        <v>4.2399764999999999E-2</v>
      </c>
      <c r="S4">
        <v>1.5656394000000001E-2</v>
      </c>
      <c r="T4">
        <v>2.453578E-2</v>
      </c>
      <c r="U4">
        <v>4.6763356999999998E-2</v>
      </c>
      <c r="V4">
        <v>2.0253706E-2</v>
      </c>
    </row>
    <row r="5" spans="1:22" x14ac:dyDescent="0.2">
      <c r="A5" t="s">
        <v>159</v>
      </c>
      <c r="B5" t="s">
        <v>175</v>
      </c>
      <c r="C5">
        <v>3.6235782000000001E-2</v>
      </c>
      <c r="D5">
        <v>8.3341409999999998E-3</v>
      </c>
      <c r="E5">
        <v>1.760163E-2</v>
      </c>
      <c r="F5">
        <v>1.6404133000000001E-2</v>
      </c>
      <c r="G5">
        <v>0</v>
      </c>
      <c r="H5">
        <v>3.1641748999999997E-2</v>
      </c>
      <c r="I5">
        <v>1.1852560999999999E-2</v>
      </c>
      <c r="J5">
        <v>3.1381944000000002E-2</v>
      </c>
      <c r="K5">
        <v>4.2526909000000002E-2</v>
      </c>
      <c r="L5">
        <v>1.4878316000000001E-2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2">
      <c r="A6" t="s">
        <v>159</v>
      </c>
      <c r="B6" t="s">
        <v>174</v>
      </c>
      <c r="C6">
        <v>1.0813728999999999E-2</v>
      </c>
      <c r="D6">
        <v>0</v>
      </c>
      <c r="E6">
        <v>2.6276674E-2</v>
      </c>
      <c r="F6">
        <v>0</v>
      </c>
      <c r="G6">
        <v>0</v>
      </c>
      <c r="H6">
        <v>3.0778258999999999E-2</v>
      </c>
      <c r="I6">
        <v>4.4120660000000001E-3</v>
      </c>
      <c r="J6">
        <v>6.2774536000000006E-2</v>
      </c>
      <c r="K6">
        <v>3.0251150000000001E-3</v>
      </c>
      <c r="L6">
        <v>1.6255151999999998E-2</v>
      </c>
      <c r="M6">
        <v>0</v>
      </c>
      <c r="N6">
        <v>0</v>
      </c>
      <c r="O6">
        <v>0</v>
      </c>
      <c r="P6">
        <v>0</v>
      </c>
      <c r="Q6">
        <v>0</v>
      </c>
      <c r="R6">
        <v>2.2089741E-2</v>
      </c>
      <c r="S6">
        <v>0</v>
      </c>
      <c r="T6">
        <v>0</v>
      </c>
      <c r="U6">
        <v>1.723297E-2</v>
      </c>
      <c r="V6">
        <v>3.6760180000000001E-3</v>
      </c>
    </row>
    <row r="7" spans="1:22" x14ac:dyDescent="0.2">
      <c r="A7" t="s">
        <v>168</v>
      </c>
      <c r="B7" t="s">
        <v>182</v>
      </c>
      <c r="C7">
        <v>0</v>
      </c>
      <c r="D7">
        <v>0</v>
      </c>
      <c r="E7">
        <v>0.1153037894965227</v>
      </c>
      <c r="F7">
        <v>6.8566570322830769E-2</v>
      </c>
      <c r="G7">
        <v>2.0550049674328389E-2</v>
      </c>
      <c r="H7">
        <v>0</v>
      </c>
      <c r="I7">
        <v>0</v>
      </c>
      <c r="J7">
        <v>0.14195692638837781</v>
      </c>
      <c r="K7">
        <v>0.28741302728875789</v>
      </c>
      <c r="L7">
        <v>2.2377433823189179E-2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2.82906206288552E-2</v>
      </c>
      <c r="U7">
        <v>1.8590393950703998E-2</v>
      </c>
      <c r="V7">
        <v>3.6461828712281201E-2</v>
      </c>
    </row>
    <row r="8" spans="1:22" x14ac:dyDescent="0.2">
      <c r="A8" t="s">
        <v>168</v>
      </c>
      <c r="B8" t="s">
        <v>183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5.4310675675154199E-2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2">
      <c r="A9" t="s">
        <v>168</v>
      </c>
      <c r="B9" t="s">
        <v>184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4.0437712632056901E-2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2">
      <c r="A10" t="s">
        <v>168</v>
      </c>
      <c r="B10" t="s">
        <v>179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1.9433216151031999E-2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2">
      <c r="A11" t="s">
        <v>169</v>
      </c>
      <c r="B11" t="s">
        <v>184</v>
      </c>
      <c r="C11">
        <v>0</v>
      </c>
      <c r="D11">
        <v>0</v>
      </c>
      <c r="E11">
        <v>0</v>
      </c>
      <c r="F11">
        <v>0</v>
      </c>
      <c r="G11">
        <v>0</v>
      </c>
      <c r="H11">
        <v>3.8269759504708699E-2</v>
      </c>
      <c r="I11">
        <v>0</v>
      </c>
      <c r="J11">
        <v>0</v>
      </c>
      <c r="K11">
        <v>0.1498959486629026</v>
      </c>
      <c r="L11">
        <v>0.16896324045294711</v>
      </c>
      <c r="M11">
        <v>0</v>
      </c>
      <c r="N11">
        <v>8.1218896322065495E-3</v>
      </c>
      <c r="O11">
        <v>7.7621929225864E-2</v>
      </c>
      <c r="P11">
        <v>1.11846736597338E-2</v>
      </c>
      <c r="Q11">
        <v>0</v>
      </c>
      <c r="R11">
        <v>0</v>
      </c>
      <c r="S11">
        <v>1.16161104409165E-2</v>
      </c>
      <c r="T11">
        <v>3.01939040195934E-2</v>
      </c>
      <c r="U11">
        <v>3.3302435009844797E-2</v>
      </c>
      <c r="V11">
        <v>0.17703699174504289</v>
      </c>
    </row>
    <row r="12" spans="1:22" x14ac:dyDescent="0.2">
      <c r="A12" t="s">
        <v>169</v>
      </c>
      <c r="B12" t="s">
        <v>179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3.3861458841174398E-2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2">
      <c r="A13" t="s">
        <v>169</v>
      </c>
      <c r="B13" t="s">
        <v>185</v>
      </c>
      <c r="C13">
        <v>6.3440543952453701E-2</v>
      </c>
      <c r="D13">
        <v>0</v>
      </c>
      <c r="E13">
        <v>0</v>
      </c>
      <c r="F13">
        <v>8.7400689142735702E-2</v>
      </c>
      <c r="G13">
        <v>0.107734319433354</v>
      </c>
      <c r="H13">
        <v>0</v>
      </c>
      <c r="I13">
        <v>0</v>
      </c>
      <c r="J13">
        <v>0</v>
      </c>
      <c r="K13">
        <v>8.5932868114327703E-3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2">
      <c r="A14" t="s">
        <v>148</v>
      </c>
      <c r="B14" t="s">
        <v>207</v>
      </c>
      <c r="C14">
        <v>9.5659469999999996E-2</v>
      </c>
      <c r="D14">
        <v>0.21650425600000001</v>
      </c>
      <c r="E14">
        <v>0.29201183600000002</v>
      </c>
      <c r="F14">
        <v>0.22274666700000001</v>
      </c>
      <c r="G14">
        <v>0.19475097399999999</v>
      </c>
      <c r="H14">
        <v>0.14843168300000001</v>
      </c>
      <c r="I14">
        <v>0.24138421700000001</v>
      </c>
      <c r="J14">
        <v>0.22076786300000001</v>
      </c>
      <c r="K14">
        <v>0.25901793000000012</v>
      </c>
      <c r="L14">
        <v>0.33278070100000001</v>
      </c>
      <c r="M14">
        <v>0</v>
      </c>
      <c r="N14">
        <v>5.0861213000000002E-2</v>
      </c>
      <c r="O14">
        <v>1.4665317000000001E-2</v>
      </c>
      <c r="P14">
        <v>2.7126118000000001E-2</v>
      </c>
      <c r="Q14">
        <v>0</v>
      </c>
      <c r="R14">
        <v>2.3847590000000002E-3</v>
      </c>
      <c r="S14">
        <v>4.4671787999999997E-2</v>
      </c>
      <c r="T14">
        <v>2.1567409999999999E-2</v>
      </c>
      <c r="U14">
        <v>6.4490465999999996E-2</v>
      </c>
      <c r="V14">
        <v>1.7858279000000001E-2</v>
      </c>
    </row>
    <row r="15" spans="1:22" x14ac:dyDescent="0.2">
      <c r="A15" t="s">
        <v>148</v>
      </c>
      <c r="B15" t="s">
        <v>175</v>
      </c>
      <c r="C15">
        <v>0.225679877</v>
      </c>
      <c r="D15">
        <v>0.40886458399999998</v>
      </c>
      <c r="E15">
        <v>0.32335454899999999</v>
      </c>
      <c r="F15">
        <v>0.29957958800000001</v>
      </c>
      <c r="G15">
        <v>0.138360967</v>
      </c>
      <c r="H15">
        <v>0.21375206999999999</v>
      </c>
      <c r="I15">
        <v>0.40814186499999999</v>
      </c>
      <c r="J15">
        <v>0.62276621799999998</v>
      </c>
      <c r="K15">
        <v>1.0218870630000001</v>
      </c>
      <c r="L15">
        <v>0.34764548899999997</v>
      </c>
      <c r="M15">
        <v>0</v>
      </c>
      <c r="N15">
        <v>3.0241186E-2</v>
      </c>
      <c r="O15">
        <v>5.8021510999999998E-2</v>
      </c>
      <c r="P15">
        <v>4.3758854E-2</v>
      </c>
      <c r="Q15">
        <v>0</v>
      </c>
      <c r="R15">
        <v>1.2906857000000001E-2</v>
      </c>
      <c r="S15">
        <v>2.8200229E-2</v>
      </c>
      <c r="T15">
        <v>7.2720943999999996E-2</v>
      </c>
      <c r="U15">
        <v>9.9978563000000006E-2</v>
      </c>
      <c r="V15">
        <v>1.138166E-2</v>
      </c>
    </row>
    <row r="16" spans="1:22" x14ac:dyDescent="0.2">
      <c r="A16" t="s">
        <v>148</v>
      </c>
      <c r="B16" t="s">
        <v>210</v>
      </c>
      <c r="C16">
        <v>0.61357029600000002</v>
      </c>
      <c r="D16">
        <v>0.88341777399999999</v>
      </c>
      <c r="E16">
        <v>0.34857389100000002</v>
      </c>
      <c r="F16">
        <v>0.27325861600000001</v>
      </c>
      <c r="G16">
        <v>0.34246262100000002</v>
      </c>
      <c r="H16">
        <v>0.22584843800000001</v>
      </c>
      <c r="I16">
        <v>0.19604044600000001</v>
      </c>
      <c r="J16">
        <v>0.17406403600000001</v>
      </c>
      <c r="K16">
        <v>0.20761932599999999</v>
      </c>
      <c r="L16">
        <v>0.32236831300000002</v>
      </c>
      <c r="M16">
        <v>1.9890524E-2</v>
      </c>
      <c r="N16">
        <v>0.63670600300000002</v>
      </c>
      <c r="O16">
        <v>0.685863628</v>
      </c>
      <c r="P16">
        <v>0.58660414800000005</v>
      </c>
      <c r="Q16">
        <v>0.14871145599999999</v>
      </c>
      <c r="R16">
        <v>1.617262E-3</v>
      </c>
      <c r="S16">
        <v>2.2246439E-2</v>
      </c>
      <c r="T16">
        <v>2.1992975000000001E-2</v>
      </c>
      <c r="U16">
        <v>1.9128923999999999E-2</v>
      </c>
      <c r="V16">
        <v>1.2726095999999999E-2</v>
      </c>
    </row>
    <row r="17" spans="1:22" x14ac:dyDescent="0.2">
      <c r="A17" t="s">
        <v>170</v>
      </c>
      <c r="B17" t="s">
        <v>184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5.5904937622993998E-2</v>
      </c>
      <c r="J17">
        <v>4.4468007191159299E-3</v>
      </c>
      <c r="K17">
        <v>1.4536536472077199E-2</v>
      </c>
      <c r="L17">
        <v>0</v>
      </c>
      <c r="M17">
        <v>0</v>
      </c>
      <c r="N17">
        <v>9.5211238142439997E-3</v>
      </c>
      <c r="O17">
        <v>0</v>
      </c>
      <c r="P17">
        <v>0</v>
      </c>
      <c r="Q17">
        <v>0</v>
      </c>
      <c r="R17">
        <v>1.6977609029876099E-2</v>
      </c>
      <c r="S17">
        <v>0.107837647060385</v>
      </c>
      <c r="T17">
        <v>3.5355928336289998E-2</v>
      </c>
      <c r="U17">
        <v>0.31712076688587498</v>
      </c>
      <c r="V17">
        <v>6.6544034500057803E-2</v>
      </c>
    </row>
    <row r="18" spans="1:22" x14ac:dyDescent="0.2">
      <c r="A18" t="s">
        <v>194</v>
      </c>
      <c r="B18" t="s">
        <v>207</v>
      </c>
      <c r="C18">
        <v>0.57706273321781798</v>
      </c>
      <c r="D18">
        <v>1.042311759889472</v>
      </c>
      <c r="E18">
        <v>1.6845156834748061</v>
      </c>
      <c r="F18">
        <v>1.1965381358417511</v>
      </c>
      <c r="G18">
        <v>0.67874815023055035</v>
      </c>
      <c r="H18">
        <v>0.71278973488210173</v>
      </c>
      <c r="I18">
        <v>1.130629355402784</v>
      </c>
      <c r="J18">
        <v>2.2753447648722478</v>
      </c>
      <c r="K18">
        <v>2.212973071265969</v>
      </c>
      <c r="L18">
        <v>1.4407440899788879</v>
      </c>
      <c r="M18">
        <v>0.96463966978105242</v>
      </c>
      <c r="N18">
        <v>1.2155913435902479</v>
      </c>
      <c r="O18">
        <v>1.4929963439976781</v>
      </c>
      <c r="P18">
        <v>1.1150330117933049</v>
      </c>
      <c r="Q18">
        <v>2.244719989446669</v>
      </c>
      <c r="R18">
        <v>0.79735820364045873</v>
      </c>
      <c r="S18">
        <v>0.86575567798416797</v>
      </c>
      <c r="T18">
        <v>0.99763085302551768</v>
      </c>
      <c r="U18">
        <v>1.209808961915626</v>
      </c>
      <c r="V18">
        <v>1.12892559832293</v>
      </c>
    </row>
    <row r="19" spans="1:22" x14ac:dyDescent="0.2">
      <c r="A19" t="s">
        <v>194</v>
      </c>
      <c r="B19" t="s">
        <v>211</v>
      </c>
      <c r="C19">
        <v>0.69142454009405985</v>
      </c>
      <c r="D19">
        <v>0.71367155865020848</v>
      </c>
      <c r="E19">
        <v>1.1982687772166301</v>
      </c>
      <c r="F19">
        <v>1.0212155501601199</v>
      </c>
      <c r="G19">
        <v>0.99959094629441614</v>
      </c>
      <c r="H19">
        <v>0.71185126665718645</v>
      </c>
      <c r="I19">
        <v>0.84971504019280752</v>
      </c>
      <c r="J19">
        <v>1.1644123354701481</v>
      </c>
      <c r="K19">
        <v>1.15280225059303</v>
      </c>
      <c r="L19">
        <v>1.016391555933323</v>
      </c>
      <c r="M19">
        <v>6.0934213281805073E-2</v>
      </c>
      <c r="N19">
        <v>0.45571221209807028</v>
      </c>
      <c r="O19">
        <v>0.47939857537549402</v>
      </c>
      <c r="P19">
        <v>0.51273544972063778</v>
      </c>
      <c r="Q19">
        <v>0.64849701084583999</v>
      </c>
      <c r="R19">
        <v>0.48164423983143478</v>
      </c>
      <c r="S19">
        <v>0.82138128301954072</v>
      </c>
      <c r="T19">
        <v>1.468383723750559</v>
      </c>
      <c r="U19">
        <v>0.79706927357398938</v>
      </c>
      <c r="V19">
        <v>1.7729740706880881</v>
      </c>
    </row>
    <row r="20" spans="1:22" x14ac:dyDescent="0.2">
      <c r="A20" t="s">
        <v>194</v>
      </c>
      <c r="B20" t="s">
        <v>210</v>
      </c>
      <c r="C20">
        <v>0.184560067789068</v>
      </c>
      <c r="D20">
        <v>0.35285775211065618</v>
      </c>
      <c r="E20">
        <v>0.34672142293652558</v>
      </c>
      <c r="F20">
        <v>0.15477543188634729</v>
      </c>
      <c r="G20">
        <v>9.1772720936758798E-2</v>
      </c>
      <c r="H20">
        <v>0.33573794468210938</v>
      </c>
      <c r="I20">
        <v>0.37918371196039619</v>
      </c>
      <c r="J20">
        <v>0.12618669484101569</v>
      </c>
      <c r="K20">
        <v>0.19823979273616091</v>
      </c>
      <c r="L20">
        <v>0.18353408945700619</v>
      </c>
      <c r="M20">
        <v>0</v>
      </c>
      <c r="N20">
        <v>9.0374066581007401E-3</v>
      </c>
      <c r="O20">
        <v>0.16528106044328381</v>
      </c>
      <c r="P20">
        <v>4.0883180829344098E-2</v>
      </c>
      <c r="Q20">
        <v>2.9901100770915699E-2</v>
      </c>
      <c r="R20">
        <v>0</v>
      </c>
      <c r="S20">
        <v>0</v>
      </c>
      <c r="T20">
        <v>1.9513651020917011E-2</v>
      </c>
      <c r="U20">
        <v>0</v>
      </c>
      <c r="V20">
        <v>5.8467598857757704E-3</v>
      </c>
    </row>
    <row r="21" spans="1:22" x14ac:dyDescent="0.2">
      <c r="A21" t="s">
        <v>194</v>
      </c>
      <c r="B21" t="s">
        <v>226</v>
      </c>
      <c r="C21">
        <v>0.14819875979540789</v>
      </c>
      <c r="D21">
        <v>0.16142954226258369</v>
      </c>
      <c r="E21">
        <v>0.1372264208978525</v>
      </c>
      <c r="F21">
        <v>0.22638816988006899</v>
      </c>
      <c r="G21">
        <v>0.14949501771600651</v>
      </c>
      <c r="H21">
        <v>7.3876568560289804E-2</v>
      </c>
      <c r="I21">
        <v>2.9420561919195801E-2</v>
      </c>
      <c r="J21">
        <v>9.64112295310533E-2</v>
      </c>
      <c r="K21">
        <v>9.5055904570203034E-2</v>
      </c>
      <c r="L21">
        <v>7.3575574178911946E-2</v>
      </c>
      <c r="M21">
        <v>0.47650504039074087</v>
      </c>
      <c r="N21">
        <v>1.3308122636734649</v>
      </c>
      <c r="O21">
        <v>0.84011896405171305</v>
      </c>
      <c r="P21">
        <v>0.93136075423869502</v>
      </c>
      <c r="Q21">
        <v>0.66362345005936296</v>
      </c>
      <c r="R21">
        <v>0.16455669653946911</v>
      </c>
      <c r="S21">
        <v>0.21047742830025731</v>
      </c>
      <c r="T21">
        <v>0.26056760777662602</v>
      </c>
      <c r="U21">
        <v>0.3767422653435874</v>
      </c>
      <c r="V21">
        <v>9.5716444177931029E-2</v>
      </c>
    </row>
    <row r="22" spans="1:22" x14ac:dyDescent="0.2">
      <c r="A22" t="s">
        <v>194</v>
      </c>
      <c r="B22" t="s">
        <v>227</v>
      </c>
      <c r="C22">
        <v>9.9146579118838798E-2</v>
      </c>
      <c r="D22">
        <v>0.23861300316273129</v>
      </c>
      <c r="E22">
        <v>0.1689976089963964</v>
      </c>
      <c r="F22">
        <v>0.15610277338856801</v>
      </c>
      <c r="G22">
        <v>0.1171774332995352</v>
      </c>
      <c r="H22">
        <v>0.2332287230758964</v>
      </c>
      <c r="I22">
        <v>0.31125011428484922</v>
      </c>
      <c r="J22">
        <v>0.24680749519322009</v>
      </c>
      <c r="K22">
        <v>0.56106803096491109</v>
      </c>
      <c r="L22">
        <v>0.43821828379707523</v>
      </c>
      <c r="M22">
        <v>0</v>
      </c>
      <c r="N22">
        <v>1.26627527786195E-2</v>
      </c>
      <c r="O22">
        <v>1.2279424995786299E-2</v>
      </c>
      <c r="P22">
        <v>2.2764721665546599E-2</v>
      </c>
      <c r="Q22">
        <v>0</v>
      </c>
      <c r="R22">
        <v>5.30270411458807E-3</v>
      </c>
      <c r="S22">
        <v>3.9045012593835318E-2</v>
      </c>
      <c r="T22">
        <v>6.5512213413015205E-2</v>
      </c>
      <c r="U22">
        <v>0.1223748836932199</v>
      </c>
      <c r="V22">
        <v>9.4306935494841912E-3</v>
      </c>
    </row>
    <row r="23" spans="1:22" x14ac:dyDescent="0.2">
      <c r="A23" t="s">
        <v>139</v>
      </c>
      <c r="B23" t="s">
        <v>179</v>
      </c>
      <c r="C23">
        <v>1.8541110000000001E-3</v>
      </c>
      <c r="D23">
        <v>0</v>
      </c>
      <c r="E23">
        <v>2.574055E-3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2">
      <c r="A24" t="s">
        <v>139</v>
      </c>
      <c r="B24" t="s">
        <v>211</v>
      </c>
      <c r="C24">
        <v>0</v>
      </c>
      <c r="D24">
        <v>0</v>
      </c>
      <c r="E24">
        <v>7.5772069999999999E-3</v>
      </c>
      <c r="F24">
        <v>0</v>
      </c>
      <c r="G24">
        <v>0</v>
      </c>
      <c r="H24">
        <v>1.0631808E-2</v>
      </c>
      <c r="I24">
        <v>0</v>
      </c>
      <c r="J24">
        <v>3.280388E-3</v>
      </c>
      <c r="K24">
        <v>1.5054689999999999E-3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2">
      <c r="A25" t="s">
        <v>140</v>
      </c>
      <c r="B25" t="s">
        <v>206</v>
      </c>
      <c r="C25">
        <v>9.9868647000000005E-2</v>
      </c>
      <c r="D25">
        <v>3.0909572E-2</v>
      </c>
      <c r="E25">
        <v>1.7026065999999999E-2</v>
      </c>
      <c r="F25">
        <v>5.5895440999999997E-2</v>
      </c>
      <c r="G25">
        <v>0</v>
      </c>
      <c r="H25">
        <v>3.2962602000000001E-2</v>
      </c>
      <c r="I25">
        <v>6.7952764999999998E-2</v>
      </c>
      <c r="J25">
        <v>7.1969795000000003E-2</v>
      </c>
      <c r="K25">
        <v>0.138920722</v>
      </c>
      <c r="L25">
        <v>3.2601372000000003E-2</v>
      </c>
      <c r="M25">
        <v>0</v>
      </c>
      <c r="N25">
        <v>1.1804218E-2</v>
      </c>
      <c r="O25">
        <v>0</v>
      </c>
      <c r="P25">
        <v>2.0963434999999999E-2</v>
      </c>
      <c r="Q25">
        <v>0</v>
      </c>
      <c r="R25">
        <v>1.8247051E-2</v>
      </c>
      <c r="S25">
        <v>3.1681270999999997E-2</v>
      </c>
      <c r="T25">
        <v>4.3668538999999999E-2</v>
      </c>
      <c r="U25">
        <v>4.1111709000000003E-2</v>
      </c>
      <c r="V25">
        <v>0</v>
      </c>
    </row>
    <row r="26" spans="1:22" x14ac:dyDescent="0.2">
      <c r="A26" t="s">
        <v>140</v>
      </c>
      <c r="B26" t="s">
        <v>212</v>
      </c>
      <c r="C26">
        <v>7.8749052999999999E-2</v>
      </c>
      <c r="D26">
        <v>6.5968118999999992E-2</v>
      </c>
      <c r="E26">
        <v>0.112336432</v>
      </c>
      <c r="F26">
        <v>9.7147268000000009E-2</v>
      </c>
      <c r="G26">
        <v>8.0439012000000004E-2</v>
      </c>
      <c r="H26">
        <v>8.5756751999999992E-2</v>
      </c>
      <c r="I26">
        <v>0.11345226999999999</v>
      </c>
      <c r="J26">
        <v>0.21071021500000001</v>
      </c>
      <c r="K26">
        <v>0.35849872700000002</v>
      </c>
      <c r="L26">
        <v>0.18644375199999999</v>
      </c>
      <c r="M26">
        <v>0</v>
      </c>
      <c r="N26">
        <v>2.44391E-4</v>
      </c>
      <c r="O26">
        <v>0</v>
      </c>
      <c r="P26">
        <v>0</v>
      </c>
      <c r="Q26">
        <v>6.9272159999999999E-3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 x14ac:dyDescent="0.2">
      <c r="A27" t="s">
        <v>140</v>
      </c>
      <c r="B27" t="s">
        <v>180</v>
      </c>
      <c r="C27">
        <v>0</v>
      </c>
      <c r="D27">
        <v>0</v>
      </c>
      <c r="E27">
        <v>1.8311494000000001E-2</v>
      </c>
      <c r="F27">
        <v>0</v>
      </c>
      <c r="G27">
        <v>0</v>
      </c>
      <c r="H27">
        <v>0</v>
      </c>
      <c r="I27">
        <v>0</v>
      </c>
      <c r="J27">
        <v>1.1270196999999999E-2</v>
      </c>
      <c r="K27">
        <v>3.0889173999999998E-2</v>
      </c>
      <c r="L27">
        <v>1.0424108E-2</v>
      </c>
      <c r="M27">
        <v>0</v>
      </c>
      <c r="N27">
        <v>0</v>
      </c>
      <c r="O27">
        <v>0</v>
      </c>
      <c r="P27">
        <v>0</v>
      </c>
      <c r="Q27">
        <v>0</v>
      </c>
      <c r="R27">
        <v>3.1074760000000001E-3</v>
      </c>
      <c r="S27">
        <v>1.9186014000000001E-2</v>
      </c>
      <c r="T27">
        <v>0</v>
      </c>
      <c r="U27">
        <v>0</v>
      </c>
      <c r="V27">
        <v>3.5483279999999999E-3</v>
      </c>
    </row>
    <row r="28" spans="1:22" x14ac:dyDescent="0.2">
      <c r="A28" t="s">
        <v>141</v>
      </c>
      <c r="B28" t="s">
        <v>207</v>
      </c>
      <c r="C28">
        <v>1.8934967E-2</v>
      </c>
      <c r="D28">
        <v>5.5016070000000004E-3</v>
      </c>
      <c r="E28">
        <v>8.7483749E-2</v>
      </c>
      <c r="F28">
        <v>2.2664414000000001E-2</v>
      </c>
      <c r="G28">
        <v>1.9060003999999998E-2</v>
      </c>
      <c r="H28">
        <v>1.3126059000000001E-2</v>
      </c>
      <c r="I28">
        <v>1.0863051E-2</v>
      </c>
      <c r="J28">
        <v>5.2533524999999998E-2</v>
      </c>
      <c r="K28">
        <v>4.1868266000000001E-2</v>
      </c>
      <c r="L28">
        <v>0.107726001</v>
      </c>
      <c r="M28">
        <v>0</v>
      </c>
      <c r="N28">
        <v>0</v>
      </c>
      <c r="O28">
        <v>0</v>
      </c>
      <c r="P28">
        <v>0</v>
      </c>
      <c r="Q28">
        <v>0</v>
      </c>
      <c r="R28">
        <v>1.2183098E-2</v>
      </c>
      <c r="S28">
        <v>2.6101890000000002E-3</v>
      </c>
      <c r="T28">
        <v>5.2257413000000003E-2</v>
      </c>
      <c r="U28">
        <v>3.7708804999999998E-2</v>
      </c>
      <c r="V28">
        <v>5.8332540000000004E-3</v>
      </c>
    </row>
    <row r="29" spans="1:22" x14ac:dyDescent="0.2">
      <c r="A29" t="s">
        <v>141</v>
      </c>
      <c r="B29" t="s">
        <v>175</v>
      </c>
      <c r="C29">
        <v>5.4465953999999997E-2</v>
      </c>
      <c r="D29">
        <v>0.158436041</v>
      </c>
      <c r="E29">
        <v>0.291314764</v>
      </c>
      <c r="F29">
        <v>0.15721120899999999</v>
      </c>
      <c r="G29">
        <v>5.5638206000000003E-2</v>
      </c>
      <c r="H29">
        <v>5.8110052000000002E-2</v>
      </c>
      <c r="I29">
        <v>0.22347359899999999</v>
      </c>
      <c r="J29">
        <v>0.39530745099999998</v>
      </c>
      <c r="K29">
        <v>0.45372477100000003</v>
      </c>
      <c r="L29">
        <v>0.18654113</v>
      </c>
      <c r="M29">
        <v>0</v>
      </c>
      <c r="N29">
        <v>3.577228E-3</v>
      </c>
      <c r="O29">
        <v>0</v>
      </c>
      <c r="P29">
        <v>0</v>
      </c>
      <c r="Q29">
        <v>0</v>
      </c>
      <c r="R29">
        <v>0</v>
      </c>
      <c r="S29">
        <v>0</v>
      </c>
      <c r="T29">
        <v>2.1924790000000002E-3</v>
      </c>
      <c r="U29">
        <v>0</v>
      </c>
      <c r="V29">
        <v>0</v>
      </c>
    </row>
    <row r="30" spans="1:22" x14ac:dyDescent="0.2">
      <c r="A30" t="s">
        <v>141</v>
      </c>
      <c r="B30" t="s">
        <v>174</v>
      </c>
      <c r="C30">
        <v>0</v>
      </c>
      <c r="D30">
        <v>1.5661299E-2</v>
      </c>
      <c r="E30">
        <v>3.5801209000000001E-2</v>
      </c>
      <c r="F30">
        <v>6.8336099999999995E-4</v>
      </c>
      <c r="G30">
        <v>1.0602858999999999E-2</v>
      </c>
      <c r="H30">
        <v>1.0945463000000001E-2</v>
      </c>
      <c r="I30">
        <v>1.8490426000000001E-2</v>
      </c>
      <c r="J30">
        <v>6.1761910000000003E-2</v>
      </c>
      <c r="K30">
        <v>2.5051615999999999E-2</v>
      </c>
      <c r="L30">
        <v>3.2293004E-2</v>
      </c>
      <c r="M30">
        <v>0</v>
      </c>
      <c r="N30">
        <v>1.7107380000000001E-3</v>
      </c>
      <c r="O30">
        <v>0</v>
      </c>
      <c r="P30">
        <v>0</v>
      </c>
      <c r="Q30">
        <v>6.8889789999999999E-3</v>
      </c>
      <c r="R30">
        <v>0</v>
      </c>
      <c r="S30">
        <v>5.6516599999999998E-4</v>
      </c>
      <c r="T30">
        <v>5.6263830000000004E-3</v>
      </c>
      <c r="U30">
        <v>0</v>
      </c>
      <c r="V30">
        <v>9.8677890000000001E-3</v>
      </c>
    </row>
    <row r="31" spans="1:22" x14ac:dyDescent="0.2">
      <c r="A31" t="s">
        <v>142</v>
      </c>
      <c r="B31" t="s">
        <v>206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 x14ac:dyDescent="0.2">
      <c r="A32" t="s">
        <v>143</v>
      </c>
      <c r="B32" t="s">
        <v>207</v>
      </c>
      <c r="C32">
        <v>1.0703173999999999E-2</v>
      </c>
      <c r="D32">
        <v>4.8739569999999999E-3</v>
      </c>
      <c r="E32">
        <v>1.2594215000000001E-2</v>
      </c>
      <c r="F32">
        <v>1.7582062999999998E-2</v>
      </c>
      <c r="G32">
        <v>1.2722692000000001E-2</v>
      </c>
      <c r="H32">
        <v>3.8325989999999999E-3</v>
      </c>
      <c r="I32">
        <v>1.3987315E-2</v>
      </c>
      <c r="J32">
        <v>1.1842757000000001E-2</v>
      </c>
      <c r="K32">
        <v>4.5205303000000002E-2</v>
      </c>
      <c r="L32">
        <v>1.7878145000000002E-2</v>
      </c>
      <c r="M32">
        <v>1.7859422999999999E-2</v>
      </c>
      <c r="N32">
        <v>0</v>
      </c>
      <c r="O32">
        <v>7.9484719999999998E-3</v>
      </c>
      <c r="P32">
        <v>2.0588934999999999E-2</v>
      </c>
      <c r="Q32">
        <v>9.4717408000000003E-2</v>
      </c>
      <c r="R32">
        <v>4.0853320000000014E-3</v>
      </c>
      <c r="S32">
        <v>0</v>
      </c>
      <c r="T32">
        <v>5.1561460000000003E-3</v>
      </c>
      <c r="U32">
        <v>1.733577E-3</v>
      </c>
      <c r="V32">
        <v>1.1758592E-2</v>
      </c>
    </row>
    <row r="33" spans="1:22" x14ac:dyDescent="0.2">
      <c r="A33" t="s">
        <v>143</v>
      </c>
      <c r="B33" t="s">
        <v>175</v>
      </c>
      <c r="C33">
        <v>3.2572470999999999E-2</v>
      </c>
      <c r="D33">
        <v>5.0965666E-2</v>
      </c>
      <c r="E33">
        <v>6.2161019999999997E-2</v>
      </c>
      <c r="F33">
        <v>4.8368044999999998E-2</v>
      </c>
      <c r="G33">
        <v>2.0357785E-2</v>
      </c>
      <c r="H33">
        <v>5.3931306999999998E-2</v>
      </c>
      <c r="I33">
        <v>5.3940292000000001E-2</v>
      </c>
      <c r="J33">
        <v>9.1777518000000002E-2</v>
      </c>
      <c r="K33">
        <v>5.7527461000000002E-2</v>
      </c>
      <c r="L33">
        <v>7.9180301999999994E-2</v>
      </c>
      <c r="M33">
        <v>0</v>
      </c>
      <c r="N33">
        <v>1.9690580000000001E-3</v>
      </c>
      <c r="O33">
        <v>0</v>
      </c>
      <c r="P33">
        <v>0</v>
      </c>
      <c r="Q33">
        <v>0</v>
      </c>
      <c r="R33">
        <v>3.7781249999999998E-3</v>
      </c>
      <c r="S33">
        <v>0</v>
      </c>
      <c r="T33">
        <v>0</v>
      </c>
      <c r="U33">
        <v>0</v>
      </c>
      <c r="V33">
        <v>0</v>
      </c>
    </row>
    <row r="34" spans="1:22" x14ac:dyDescent="0.2">
      <c r="A34" t="s">
        <v>143</v>
      </c>
      <c r="B34" t="s">
        <v>208</v>
      </c>
      <c r="C34">
        <v>1.6972602E-2</v>
      </c>
      <c r="D34">
        <v>3.008517E-3</v>
      </c>
      <c r="E34">
        <v>1.6817156999999999E-2</v>
      </c>
      <c r="F34">
        <v>2.6569990000000002E-3</v>
      </c>
      <c r="G34">
        <v>5.7899999999999998E-5</v>
      </c>
      <c r="H34">
        <v>1.2859888999999999E-2</v>
      </c>
      <c r="I34">
        <v>1.4556344000000001E-2</v>
      </c>
      <c r="J34">
        <v>5.9057630999999999E-2</v>
      </c>
      <c r="K34">
        <v>4.8909683999999988E-2</v>
      </c>
      <c r="L34">
        <v>1.5400377E-2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 x14ac:dyDescent="0.2">
      <c r="A35" t="s">
        <v>143</v>
      </c>
      <c r="B35" t="s">
        <v>213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4.5174761000000001E-2</v>
      </c>
      <c r="N35">
        <v>0</v>
      </c>
      <c r="O35">
        <v>6.3708112999999997E-2</v>
      </c>
      <c r="P35">
        <v>0</v>
      </c>
      <c r="Q35">
        <v>1.1496502E-2</v>
      </c>
      <c r="R35">
        <v>0</v>
      </c>
      <c r="S35">
        <v>0</v>
      </c>
      <c r="T35">
        <v>0</v>
      </c>
      <c r="U35">
        <v>0</v>
      </c>
      <c r="V35">
        <v>1.2191999999999999E-3</v>
      </c>
    </row>
    <row r="36" spans="1:22" x14ac:dyDescent="0.2">
      <c r="A36" t="s">
        <v>143</v>
      </c>
      <c r="B36" t="s">
        <v>177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2.1587139999999999E-3</v>
      </c>
      <c r="J36">
        <v>0</v>
      </c>
      <c r="K36">
        <v>0</v>
      </c>
      <c r="L36">
        <v>0</v>
      </c>
      <c r="M36">
        <v>0</v>
      </c>
      <c r="N36">
        <v>4.8857965000000003E-2</v>
      </c>
      <c r="O36">
        <v>7.1797800000000002E-3</v>
      </c>
      <c r="P36">
        <v>0</v>
      </c>
      <c r="Q36">
        <v>2.0130348999999999E-2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 x14ac:dyDescent="0.2">
      <c r="A37" t="s">
        <v>144</v>
      </c>
      <c r="B37" t="s">
        <v>207</v>
      </c>
      <c r="C37">
        <v>0</v>
      </c>
      <c r="D37">
        <v>0</v>
      </c>
      <c r="E37">
        <v>0</v>
      </c>
      <c r="F37">
        <v>5.930182E-3</v>
      </c>
      <c r="G37">
        <v>0</v>
      </c>
      <c r="H37">
        <v>1.0454359999999999E-2</v>
      </c>
      <c r="I37">
        <v>9.3859730000000006E-3</v>
      </c>
      <c r="J37">
        <v>3.4597269E-2</v>
      </c>
      <c r="K37">
        <v>8.8019643000000009E-2</v>
      </c>
      <c r="L37">
        <v>1.4284120000000001E-2</v>
      </c>
      <c r="M37">
        <v>0</v>
      </c>
      <c r="N37">
        <v>0</v>
      </c>
      <c r="O37">
        <v>2.5915726E-2</v>
      </c>
      <c r="P37">
        <v>0</v>
      </c>
      <c r="Q37">
        <v>0</v>
      </c>
      <c r="R37">
        <v>7.3261039999999999E-3</v>
      </c>
      <c r="S37">
        <v>1.4626772999999999E-2</v>
      </c>
      <c r="T37">
        <v>3.1682199999999998E-3</v>
      </c>
      <c r="U37">
        <v>5.692534E-3</v>
      </c>
      <c r="V37">
        <v>1.3066194E-2</v>
      </c>
    </row>
    <row r="38" spans="1:22" x14ac:dyDescent="0.2">
      <c r="A38" t="s">
        <v>144</v>
      </c>
      <c r="B38" t="s">
        <v>216</v>
      </c>
      <c r="C38">
        <v>6.2872795000000009E-2</v>
      </c>
      <c r="D38">
        <v>0.23365793800000001</v>
      </c>
      <c r="E38">
        <v>0.30527434799999997</v>
      </c>
      <c r="F38">
        <v>0.302073274</v>
      </c>
      <c r="G38">
        <v>0.234112071</v>
      </c>
      <c r="H38">
        <v>5.4728567999999998E-2</v>
      </c>
      <c r="I38">
        <v>9.6920501000000006E-2</v>
      </c>
      <c r="J38">
        <v>7.5891356000000007E-2</v>
      </c>
      <c r="K38">
        <v>0.104052626</v>
      </c>
      <c r="L38">
        <v>4.4774732999999997E-2</v>
      </c>
      <c r="M38">
        <v>0</v>
      </c>
      <c r="N38">
        <v>0</v>
      </c>
      <c r="O38">
        <v>0</v>
      </c>
      <c r="P38">
        <v>1.569219E-3</v>
      </c>
      <c r="Q38">
        <v>0</v>
      </c>
      <c r="R38">
        <v>1.2179973E-2</v>
      </c>
      <c r="S38">
        <v>0.114938357</v>
      </c>
      <c r="T38">
        <v>1.6116189999999999E-2</v>
      </c>
      <c r="U38">
        <v>0</v>
      </c>
      <c r="V38">
        <v>1.3963713000000001E-2</v>
      </c>
    </row>
    <row r="39" spans="1:22" x14ac:dyDescent="0.2">
      <c r="A39" t="s">
        <v>155</v>
      </c>
      <c r="B39" t="s">
        <v>207</v>
      </c>
      <c r="C39">
        <v>9.0618818000000004E-2</v>
      </c>
      <c r="D39">
        <v>0.100964278</v>
      </c>
      <c r="E39">
        <v>0.32694970099999998</v>
      </c>
      <c r="F39">
        <v>0.12387015</v>
      </c>
      <c r="G39">
        <v>9.7122833999999991E-2</v>
      </c>
      <c r="H39">
        <v>5.0522330999999997E-2</v>
      </c>
      <c r="I39">
        <v>8.0091635999999994E-2</v>
      </c>
      <c r="J39">
        <v>0.32968549699999999</v>
      </c>
      <c r="K39">
        <v>0.20207306999999999</v>
      </c>
      <c r="L39">
        <v>0.144225257</v>
      </c>
      <c r="M39">
        <v>4.8004529999999997E-3</v>
      </c>
      <c r="N39">
        <v>2.0969518999999999E-2</v>
      </c>
      <c r="O39">
        <v>0.103448017</v>
      </c>
      <c r="P39">
        <v>5.5674111999999998E-2</v>
      </c>
      <c r="Q39">
        <v>8.3780436999999999E-2</v>
      </c>
      <c r="R39">
        <v>5.6683324E-2</v>
      </c>
      <c r="S39">
        <v>1.2825826E-2</v>
      </c>
      <c r="T39">
        <v>2.1087768E-2</v>
      </c>
      <c r="U39">
        <v>0</v>
      </c>
      <c r="V39">
        <v>1.7240697999999999E-2</v>
      </c>
    </row>
    <row r="40" spans="1:22" x14ac:dyDescent="0.2">
      <c r="A40" t="s">
        <v>155</v>
      </c>
      <c r="B40" t="s">
        <v>175</v>
      </c>
      <c r="C40">
        <v>0</v>
      </c>
      <c r="D40">
        <v>3.0452870999999999E-2</v>
      </c>
      <c r="E40">
        <v>7.4013400000000002E-3</v>
      </c>
      <c r="F40">
        <v>3.6716199999999998E-4</v>
      </c>
      <c r="G40">
        <v>0</v>
      </c>
      <c r="H40">
        <v>3.3414970000000001E-3</v>
      </c>
      <c r="I40">
        <v>9.9573969999999998E-3</v>
      </c>
      <c r="J40">
        <v>0</v>
      </c>
      <c r="K40">
        <v>3.7357016999999999E-2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2.4921921999999999E-2</v>
      </c>
      <c r="V40">
        <v>1.833098E-3</v>
      </c>
    </row>
    <row r="41" spans="1:22" x14ac:dyDescent="0.2">
      <c r="A41" t="s">
        <v>155</v>
      </c>
      <c r="B41" t="s">
        <v>178</v>
      </c>
      <c r="C41">
        <v>0</v>
      </c>
      <c r="D41">
        <v>0</v>
      </c>
      <c r="E41">
        <v>1.5256736999999999E-2</v>
      </c>
      <c r="F41">
        <v>0</v>
      </c>
      <c r="G41">
        <v>0</v>
      </c>
      <c r="H41">
        <v>0</v>
      </c>
      <c r="I41">
        <v>1.1287126E-2</v>
      </c>
      <c r="J41">
        <v>1.1861685E-2</v>
      </c>
      <c r="K41">
        <v>8.1215390000000005E-3</v>
      </c>
      <c r="L41">
        <v>2.2099720000000002E-3</v>
      </c>
      <c r="M41">
        <v>0</v>
      </c>
      <c r="N41">
        <v>0</v>
      </c>
      <c r="O41">
        <v>0</v>
      </c>
      <c r="P41">
        <v>0</v>
      </c>
      <c r="Q41">
        <v>0</v>
      </c>
      <c r="R41">
        <v>2.4503659999999998E-3</v>
      </c>
      <c r="S41">
        <v>0</v>
      </c>
      <c r="T41">
        <v>0</v>
      </c>
      <c r="U41">
        <v>0</v>
      </c>
      <c r="V41">
        <v>0</v>
      </c>
    </row>
    <row r="42" spans="1:22" x14ac:dyDescent="0.2">
      <c r="A42" t="s">
        <v>146</v>
      </c>
      <c r="B42" t="s">
        <v>206</v>
      </c>
      <c r="C42">
        <v>0</v>
      </c>
      <c r="D42">
        <v>1.2455667394798709E-2</v>
      </c>
      <c r="E42">
        <v>3.3182388214031792E-2</v>
      </c>
      <c r="F42">
        <v>2.1776045011563411E-2</v>
      </c>
      <c r="G42">
        <v>1.16960520216731E-3</v>
      </c>
      <c r="H42">
        <v>1.6553779727636778E-2</v>
      </c>
      <c r="I42">
        <v>1.5151727153140931E-2</v>
      </c>
      <c r="J42">
        <v>2.1442593730964479E-2</v>
      </c>
      <c r="K42">
        <v>3.7403418326228767E-2</v>
      </c>
      <c r="L42">
        <v>2.3184420819391691E-2</v>
      </c>
      <c r="M42">
        <v>4.1661114670671498E-3</v>
      </c>
      <c r="N42">
        <v>2.4160532301605998E-3</v>
      </c>
      <c r="O42">
        <v>3.2222439131442827E-2</v>
      </c>
      <c r="P42">
        <v>7.0970922991833501E-3</v>
      </c>
      <c r="Q42">
        <v>0</v>
      </c>
      <c r="R42">
        <v>0.1673975796550613</v>
      </c>
      <c r="S42">
        <v>0.13988147681095439</v>
      </c>
      <c r="T42">
        <v>0.13153580933064521</v>
      </c>
      <c r="U42">
        <v>0.33657327662994507</v>
      </c>
      <c r="V42">
        <v>0.18664817116248361</v>
      </c>
    </row>
    <row r="43" spans="1:22" x14ac:dyDescent="0.2">
      <c r="A43" t="s">
        <v>146</v>
      </c>
      <c r="B43" t="s">
        <v>207</v>
      </c>
      <c r="C43">
        <v>0.19552350771114471</v>
      </c>
      <c r="D43">
        <v>0.44138258357294952</v>
      </c>
      <c r="E43">
        <v>0.31681229420486839</v>
      </c>
      <c r="F43">
        <v>0.2080578848764516</v>
      </c>
      <c r="G43">
        <v>0.17687659703797801</v>
      </c>
      <c r="H43">
        <v>0.1588598023443461</v>
      </c>
      <c r="I43">
        <v>0.27770978721071571</v>
      </c>
      <c r="J43">
        <v>0.46203430616257252</v>
      </c>
      <c r="K43">
        <v>0.27594156296871059</v>
      </c>
      <c r="L43">
        <v>0.26707933426945019</v>
      </c>
      <c r="M43">
        <v>0.1813708410958573</v>
      </c>
      <c r="N43">
        <v>0.1124984282358114</v>
      </c>
      <c r="O43">
        <v>0.1786435307236984</v>
      </c>
      <c r="P43">
        <v>0.28401875773773422</v>
      </c>
      <c r="Q43">
        <v>0.1421041529519052</v>
      </c>
      <c r="R43">
        <v>0.19635001087929099</v>
      </c>
      <c r="S43">
        <v>0.36559823727064339</v>
      </c>
      <c r="T43">
        <v>0.27306650154458711</v>
      </c>
      <c r="U43">
        <v>7.8335719338086723E-2</v>
      </c>
      <c r="V43">
        <v>0.23529709324440171</v>
      </c>
    </row>
    <row r="44" spans="1:22" x14ac:dyDescent="0.2">
      <c r="A44" t="s">
        <v>146</v>
      </c>
      <c r="B44" t="s">
        <v>212</v>
      </c>
      <c r="C44">
        <v>3.2015087167408698E-3</v>
      </c>
      <c r="D44">
        <v>1.43648209826611E-2</v>
      </c>
      <c r="E44">
        <v>9.8095461804259404E-2</v>
      </c>
      <c r="F44">
        <v>6.4979505198592094E-2</v>
      </c>
      <c r="G44">
        <v>2.7432110210579501E-2</v>
      </c>
      <c r="H44">
        <v>4.9785052038125499E-2</v>
      </c>
      <c r="I44">
        <v>5.8443402980165503E-2</v>
      </c>
      <c r="J44">
        <v>0.22326630490048099</v>
      </c>
      <c r="K44">
        <v>0.22120463316203401</v>
      </c>
      <c r="L44">
        <v>0.16058951058285501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1.87742036751638E-3</v>
      </c>
      <c r="U44">
        <v>0</v>
      </c>
      <c r="V44">
        <v>0</v>
      </c>
    </row>
    <row r="45" spans="1:22" x14ac:dyDescent="0.2">
      <c r="A45" t="s">
        <v>146</v>
      </c>
      <c r="B45" t="s">
        <v>175</v>
      </c>
      <c r="C45">
        <v>0.72480084427700375</v>
      </c>
      <c r="D45">
        <v>2.212796355228646</v>
      </c>
      <c r="E45">
        <v>2.4411278541548982</v>
      </c>
      <c r="F45">
        <v>1.785263896338938</v>
      </c>
      <c r="G45">
        <v>0.91998507736587154</v>
      </c>
      <c r="H45">
        <v>0.98215635755364417</v>
      </c>
      <c r="I45">
        <v>1.3950190877261039</v>
      </c>
      <c r="J45">
        <v>1.211133908867724</v>
      </c>
      <c r="K45">
        <v>1.4027267902695899</v>
      </c>
      <c r="L45">
        <v>0.64570771461174492</v>
      </c>
      <c r="M45">
        <v>3.0414546939969339E-2</v>
      </c>
      <c r="N45">
        <v>1.7267676791339539</v>
      </c>
      <c r="O45">
        <v>5.7763422093028449</v>
      </c>
      <c r="P45">
        <v>3.8286443163759052</v>
      </c>
      <c r="Q45">
        <v>0.37124141187746651</v>
      </c>
      <c r="R45">
        <v>0.1493650532512501</v>
      </c>
      <c r="S45">
        <v>0.49643943229210419</v>
      </c>
      <c r="T45">
        <v>0.23984662380803209</v>
      </c>
      <c r="U45">
        <v>0.18461660670990099</v>
      </c>
      <c r="V45">
        <v>0.16819441201019281</v>
      </c>
    </row>
    <row r="46" spans="1:22" x14ac:dyDescent="0.2">
      <c r="A46" t="s">
        <v>146</v>
      </c>
      <c r="B46" t="s">
        <v>208</v>
      </c>
      <c r="C46">
        <v>6.6571803736920787E-2</v>
      </c>
      <c r="D46">
        <v>0.12529413131427899</v>
      </c>
      <c r="E46">
        <v>0.1568030919863509</v>
      </c>
      <c r="F46">
        <v>5.6584591404442178E-2</v>
      </c>
      <c r="G46">
        <v>2.9521131093270279E-2</v>
      </c>
      <c r="H46">
        <v>7.9087503976930901E-2</v>
      </c>
      <c r="I46">
        <v>0.18074855665662989</v>
      </c>
      <c r="J46">
        <v>0.2047835130847141</v>
      </c>
      <c r="K46">
        <v>0.106667862104956</v>
      </c>
      <c r="L46">
        <v>7.4925361366973642E-2</v>
      </c>
      <c r="M46">
        <v>0</v>
      </c>
      <c r="N46">
        <v>0</v>
      </c>
      <c r="O46">
        <v>0</v>
      </c>
      <c r="P46">
        <v>0</v>
      </c>
      <c r="Q46">
        <v>0</v>
      </c>
      <c r="R46">
        <v>5.2287661742629003E-3</v>
      </c>
      <c r="S46">
        <v>1.3772507931988301E-2</v>
      </c>
      <c r="T46">
        <v>1.3941345108564001E-2</v>
      </c>
      <c r="U46">
        <v>7.48802470931336E-3</v>
      </c>
      <c r="V46">
        <v>0</v>
      </c>
    </row>
    <row r="47" spans="1:22" x14ac:dyDescent="0.2">
      <c r="A47" t="s">
        <v>146</v>
      </c>
      <c r="B47" t="s">
        <v>216</v>
      </c>
      <c r="C47">
        <v>2.5114569098807549E-2</v>
      </c>
      <c r="D47">
        <v>4.9740313934228189E-2</v>
      </c>
      <c r="E47">
        <v>4.2260327325521922E-2</v>
      </c>
      <c r="F47">
        <v>1.7539208000111911E-2</v>
      </c>
      <c r="G47">
        <v>1.66554738694299E-2</v>
      </c>
      <c r="H47">
        <v>2.06188092025369E-3</v>
      </c>
      <c r="I47">
        <v>6.9271712731686821E-2</v>
      </c>
      <c r="J47">
        <v>6.2154657244764613E-2</v>
      </c>
      <c r="K47">
        <v>0.10227648244895619</v>
      </c>
      <c r="L47">
        <v>8.7175333803183E-2</v>
      </c>
      <c r="M47">
        <v>0</v>
      </c>
      <c r="N47">
        <v>0</v>
      </c>
      <c r="O47">
        <v>3.4112242638294401E-3</v>
      </c>
      <c r="P47">
        <v>8.1051740946209896E-3</v>
      </c>
      <c r="Q47">
        <v>0</v>
      </c>
      <c r="R47">
        <v>0</v>
      </c>
      <c r="S47">
        <v>1.7180089901396201E-3</v>
      </c>
      <c r="T47">
        <v>2.235858357532498E-2</v>
      </c>
      <c r="U47">
        <v>1.6671076540812981E-2</v>
      </c>
      <c r="V47">
        <v>1.542724442771364E-2</v>
      </c>
    </row>
    <row r="48" spans="1:22" x14ac:dyDescent="0.2">
      <c r="A48" t="s">
        <v>146</v>
      </c>
      <c r="B48" t="s">
        <v>210</v>
      </c>
      <c r="C48">
        <v>1.401885389212481</v>
      </c>
      <c r="D48">
        <v>2.5396883707315721</v>
      </c>
      <c r="E48">
        <v>1.7962030062101131</v>
      </c>
      <c r="F48">
        <v>1.6493967105466161</v>
      </c>
      <c r="G48">
        <v>1.0386106519852669</v>
      </c>
      <c r="H48">
        <v>1.3381932074894509</v>
      </c>
      <c r="I48">
        <v>1.0149980056455279</v>
      </c>
      <c r="J48">
        <v>0.90747148168157099</v>
      </c>
      <c r="K48">
        <v>0.934218009224552</v>
      </c>
      <c r="L48">
        <v>0.92610999844084729</v>
      </c>
      <c r="M48">
        <v>3.9019838665158589E-2</v>
      </c>
      <c r="N48">
        <v>1.2391048092248651</v>
      </c>
      <c r="O48">
        <v>1.6996394195967679</v>
      </c>
      <c r="P48">
        <v>1.434000651557277</v>
      </c>
      <c r="Q48">
        <v>0.5076852584131899</v>
      </c>
      <c r="R48">
        <v>0.13475137555289701</v>
      </c>
      <c r="S48">
        <v>0.34562430930114441</v>
      </c>
      <c r="T48">
        <v>0.1492202392545956</v>
      </c>
      <c r="U48">
        <v>7.4140790050856678E-2</v>
      </c>
      <c r="V48">
        <v>0.2237165306147007</v>
      </c>
    </row>
    <row r="49" spans="1:22" x14ac:dyDescent="0.2">
      <c r="A49" t="s">
        <v>146</v>
      </c>
      <c r="B49" t="s">
        <v>215</v>
      </c>
      <c r="C49">
        <v>0.1264699589078295</v>
      </c>
      <c r="D49">
        <v>7.8935390074891976E-2</v>
      </c>
      <c r="E49">
        <v>0.10522713852082401</v>
      </c>
      <c r="F49">
        <v>6.0750775857747602E-2</v>
      </c>
      <c r="G49">
        <v>5.956112814029442E-2</v>
      </c>
      <c r="H49">
        <v>8.1970388390885746E-2</v>
      </c>
      <c r="I49">
        <v>0.1060237555314347</v>
      </c>
      <c r="J49">
        <v>7.0049828300731615E-2</v>
      </c>
      <c r="K49">
        <v>5.8699096247106591E-2</v>
      </c>
      <c r="L49">
        <v>5.5070776276046569E-2</v>
      </c>
      <c r="M49">
        <v>0</v>
      </c>
      <c r="N49">
        <v>0</v>
      </c>
      <c r="O49">
        <v>5.8474621829934402E-3</v>
      </c>
      <c r="P49">
        <v>0</v>
      </c>
      <c r="Q49">
        <v>7.33379939624248E-3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 x14ac:dyDescent="0.2">
      <c r="A50" t="s">
        <v>146</v>
      </c>
      <c r="B50" t="s">
        <v>226</v>
      </c>
      <c r="C50">
        <v>1.6298903909364601E-2</v>
      </c>
      <c r="D50">
        <v>5.29409537727034E-2</v>
      </c>
      <c r="E50">
        <v>3.9925025623834168E-2</v>
      </c>
      <c r="F50">
        <v>4.5883624441949003E-2</v>
      </c>
      <c r="G50">
        <v>1.228023839240782E-2</v>
      </c>
      <c r="H50">
        <v>5.0622300654228599E-3</v>
      </c>
      <c r="I50">
        <v>7.1877263534824197E-3</v>
      </c>
      <c r="J50">
        <v>4.2514916478932498E-2</v>
      </c>
      <c r="K50">
        <v>1.438186504304282E-2</v>
      </c>
      <c r="L50">
        <v>4.1572002733981747E-2</v>
      </c>
      <c r="M50">
        <v>3.8216339788824501E-2</v>
      </c>
      <c r="N50">
        <v>8.8365753990318305E-2</v>
      </c>
      <c r="O50">
        <v>9.2089547755899503E-2</v>
      </c>
      <c r="P50">
        <v>9.2865084373622203E-2</v>
      </c>
      <c r="Q50">
        <v>2.17923708858106E-2</v>
      </c>
      <c r="R50">
        <v>1.4891726009153399E-2</v>
      </c>
      <c r="S50">
        <v>1.2348337720851831E-2</v>
      </c>
      <c r="T50">
        <v>5.7171388423955298E-2</v>
      </c>
      <c r="U50">
        <v>4.4488913109124797E-2</v>
      </c>
      <c r="V50">
        <v>9.9340895077303197E-3</v>
      </c>
    </row>
    <row r="51" spans="1:22" x14ac:dyDescent="0.2">
      <c r="A51" t="s">
        <v>146</v>
      </c>
      <c r="B51" t="s">
        <v>209</v>
      </c>
      <c r="C51">
        <v>8.9976214402505209E-3</v>
      </c>
      <c r="D51">
        <v>4.2386953088951899E-2</v>
      </c>
      <c r="E51">
        <v>5.1923424188826901E-2</v>
      </c>
      <c r="F51">
        <v>8.9555013046863502E-3</v>
      </c>
      <c r="G51">
        <v>7.0644647195184434E-3</v>
      </c>
      <c r="H51">
        <v>1.2407524640726621E-2</v>
      </c>
      <c r="I51">
        <v>3.9153941356203231E-2</v>
      </c>
      <c r="J51">
        <v>5.9239808356256668E-2</v>
      </c>
      <c r="K51">
        <v>5.2757135515037447E-2</v>
      </c>
      <c r="L51">
        <v>4.1609872514809097E-2</v>
      </c>
      <c r="M51">
        <v>0</v>
      </c>
      <c r="N51">
        <v>3.58355903634932E-4</v>
      </c>
      <c r="O51">
        <v>0</v>
      </c>
      <c r="P51">
        <v>0</v>
      </c>
      <c r="Q51">
        <v>2.0863219033210499E-2</v>
      </c>
      <c r="R51">
        <v>1.122607037613105E-3</v>
      </c>
      <c r="S51">
        <v>1.0627959063139601E-2</v>
      </c>
      <c r="T51">
        <v>3.0814616576918849E-2</v>
      </c>
      <c r="U51">
        <v>3.7363023760168257E-2</v>
      </c>
      <c r="V51">
        <v>5.2234083540646542E-2</v>
      </c>
    </row>
    <row r="52" spans="1:22" x14ac:dyDescent="0.2">
      <c r="A52" t="s">
        <v>146</v>
      </c>
      <c r="B52" t="s">
        <v>228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2.6546563236737701E-3</v>
      </c>
      <c r="Q52">
        <v>0</v>
      </c>
      <c r="R52">
        <v>3.3272073146325301E-3</v>
      </c>
      <c r="S52">
        <v>5.74170452842525E-3</v>
      </c>
      <c r="T52">
        <v>2.92463768961005E-2</v>
      </c>
      <c r="U52">
        <v>0.33383272967705102</v>
      </c>
      <c r="V52">
        <v>0</v>
      </c>
    </row>
    <row r="53" spans="1:22" x14ac:dyDescent="0.2">
      <c r="A53" t="s">
        <v>189</v>
      </c>
      <c r="B53" t="s">
        <v>207</v>
      </c>
      <c r="C53">
        <v>0.12957933787732601</v>
      </c>
      <c r="D53">
        <v>0.18952030407301321</v>
      </c>
      <c r="E53">
        <v>0.2028088552679343</v>
      </c>
      <c r="F53">
        <v>0.1853019699601075</v>
      </c>
      <c r="G53">
        <v>9.785121709807526E-2</v>
      </c>
      <c r="H53">
        <v>0.19587743779930089</v>
      </c>
      <c r="I53">
        <v>0.23564960849892089</v>
      </c>
      <c r="J53">
        <v>0.28080263014007689</v>
      </c>
      <c r="K53">
        <v>0.26925975723442741</v>
      </c>
      <c r="L53">
        <v>0.2009289421170499</v>
      </c>
      <c r="M53">
        <v>4.9403702339165197E-2</v>
      </c>
      <c r="N53">
        <v>6.5783000684928358E-2</v>
      </c>
      <c r="O53">
        <v>9.5633389809683444E-2</v>
      </c>
      <c r="P53">
        <v>8.0333436621811485E-2</v>
      </c>
      <c r="Q53">
        <v>5.8240869553580182E-2</v>
      </c>
      <c r="R53">
        <v>9.8065660598319615E-2</v>
      </c>
      <c r="S53">
        <v>0.16115398261024191</v>
      </c>
      <c r="T53">
        <v>8.3783263727316801E-2</v>
      </c>
      <c r="U53">
        <v>0.1333487532906131</v>
      </c>
      <c r="V53">
        <v>5.7935963614049013E-2</v>
      </c>
    </row>
    <row r="54" spans="1:22" x14ac:dyDescent="0.2">
      <c r="A54" t="s">
        <v>189</v>
      </c>
      <c r="B54" t="s">
        <v>211</v>
      </c>
      <c r="C54">
        <v>0.1125157570658334</v>
      </c>
      <c r="D54">
        <v>0.11011324075876699</v>
      </c>
      <c r="E54">
        <v>0.2241633826952798</v>
      </c>
      <c r="F54">
        <v>0.1193611266752648</v>
      </c>
      <c r="G54">
        <v>6.1839947970439249E-2</v>
      </c>
      <c r="H54">
        <v>0.2306569952371797</v>
      </c>
      <c r="I54">
        <v>0.12938147027146801</v>
      </c>
      <c r="J54">
        <v>0.2216231534775355</v>
      </c>
      <c r="K54">
        <v>0.28848799372054662</v>
      </c>
      <c r="L54">
        <v>0.11139666528808639</v>
      </c>
      <c r="M54">
        <v>4.8828566301368302E-2</v>
      </c>
      <c r="N54">
        <v>0.65773250365288782</v>
      </c>
      <c r="O54">
        <v>0.95734203888898828</v>
      </c>
      <c r="P54">
        <v>0.24153320572319309</v>
      </c>
      <c r="Q54">
        <v>0.44058749417686849</v>
      </c>
      <c r="R54">
        <v>0.17431338052406761</v>
      </c>
      <c r="S54">
        <v>0.19342174594642311</v>
      </c>
      <c r="T54">
        <v>0.28226198189193369</v>
      </c>
      <c r="U54">
        <v>0.34078105588157442</v>
      </c>
      <c r="V54">
        <v>0.47479570104762753</v>
      </c>
    </row>
    <row r="55" spans="1:22" x14ac:dyDescent="0.2">
      <c r="A55" t="s">
        <v>189</v>
      </c>
      <c r="B55" t="s">
        <v>175</v>
      </c>
      <c r="C55">
        <v>3.708452650952862E-2</v>
      </c>
      <c r="D55">
        <v>0.1208918477469729</v>
      </c>
      <c r="E55">
        <v>0.17361811692739429</v>
      </c>
      <c r="F55">
        <v>9.1507803424476189E-2</v>
      </c>
      <c r="G55">
        <v>2.40366809882708E-2</v>
      </c>
      <c r="H55">
        <v>8.8057310792434604E-2</v>
      </c>
      <c r="I55">
        <v>0.1216642480766124</v>
      </c>
      <c r="J55">
        <v>0.13345488947210049</v>
      </c>
      <c r="K55">
        <v>0.26919917759138912</v>
      </c>
      <c r="L55">
        <v>8.3524506599133963E-2</v>
      </c>
      <c r="M55">
        <v>0</v>
      </c>
      <c r="N55">
        <v>0</v>
      </c>
      <c r="O55">
        <v>1.1674049343493999E-2</v>
      </c>
      <c r="P55">
        <v>2.45082979743425E-3</v>
      </c>
      <c r="Q55">
        <v>0</v>
      </c>
      <c r="R55">
        <v>0</v>
      </c>
      <c r="S55">
        <v>0</v>
      </c>
      <c r="T55">
        <v>2.4334753667870401E-4</v>
      </c>
      <c r="U55">
        <v>2.36439344955542E-3</v>
      </c>
      <c r="V55">
        <v>0</v>
      </c>
    </row>
    <row r="56" spans="1:22" x14ac:dyDescent="0.2">
      <c r="A56" t="s">
        <v>189</v>
      </c>
      <c r="B56" t="s">
        <v>215</v>
      </c>
      <c r="C56">
        <v>2.734180573843947E-2</v>
      </c>
      <c r="D56">
        <v>4.3607314009820708E-2</v>
      </c>
      <c r="E56">
        <v>6.6978712429967863E-2</v>
      </c>
      <c r="F56">
        <v>2.7650631485615321E-2</v>
      </c>
      <c r="G56">
        <v>8.5742290742654905E-3</v>
      </c>
      <c r="H56">
        <v>5.292785841051223E-2</v>
      </c>
      <c r="I56">
        <v>6.8568513503437692E-2</v>
      </c>
      <c r="J56">
        <v>8.0004557763716552E-2</v>
      </c>
      <c r="K56">
        <v>7.570908665515784E-2</v>
      </c>
      <c r="L56">
        <v>6.6409168988054212E-2</v>
      </c>
      <c r="M56">
        <v>0</v>
      </c>
      <c r="N56">
        <v>0</v>
      </c>
      <c r="O56">
        <v>0</v>
      </c>
      <c r="P56">
        <v>0</v>
      </c>
      <c r="Q56">
        <v>0</v>
      </c>
      <c r="R56">
        <v>2.1077519889878701E-3</v>
      </c>
      <c r="S56">
        <v>0</v>
      </c>
      <c r="T56">
        <v>0</v>
      </c>
      <c r="U56">
        <v>0</v>
      </c>
      <c r="V56">
        <v>3.7275856810615798E-3</v>
      </c>
    </row>
    <row r="57" spans="1:22" x14ac:dyDescent="0.2">
      <c r="A57" t="s">
        <v>189</v>
      </c>
      <c r="B57" t="s">
        <v>209</v>
      </c>
      <c r="C57">
        <v>3.4894141768794421E-2</v>
      </c>
      <c r="D57">
        <v>8.707612079856128E-2</v>
      </c>
      <c r="E57">
        <v>0.1110776501778592</v>
      </c>
      <c r="F57">
        <v>6.3441364260591049E-2</v>
      </c>
      <c r="G57">
        <v>2.7756247374088449E-2</v>
      </c>
      <c r="H57">
        <v>5.2380522748044937E-2</v>
      </c>
      <c r="I57">
        <v>7.0776343448349197E-2</v>
      </c>
      <c r="J57">
        <v>0.1532283063436149</v>
      </c>
      <c r="K57">
        <v>0.11653461034877149</v>
      </c>
      <c r="L57">
        <v>0.1147283043394477</v>
      </c>
      <c r="M57">
        <v>0</v>
      </c>
      <c r="N57">
        <v>1.9652592312417502E-3</v>
      </c>
      <c r="O57">
        <v>9.5939147492078505E-3</v>
      </c>
      <c r="P57">
        <v>0</v>
      </c>
      <c r="Q57">
        <v>1.8570291484750201E-3</v>
      </c>
      <c r="R57">
        <v>3.4587335380560337E-2</v>
      </c>
      <c r="S57">
        <v>5.512557674154215E-2</v>
      </c>
      <c r="T57">
        <v>2.4346509587516801E-2</v>
      </c>
      <c r="U57">
        <v>8.9007030682794613E-2</v>
      </c>
      <c r="V57">
        <v>3.4680298138097997E-2</v>
      </c>
    </row>
    <row r="58" spans="1:22" x14ac:dyDescent="0.2">
      <c r="A58" t="s">
        <v>191</v>
      </c>
      <c r="B58" t="s">
        <v>207</v>
      </c>
      <c r="C58">
        <v>1.7925742502423589</v>
      </c>
      <c r="D58">
        <v>1.1887900091522079</v>
      </c>
      <c r="E58">
        <v>1.4488729765772539</v>
      </c>
      <c r="F58">
        <v>1.755006069633865</v>
      </c>
      <c r="G58">
        <v>1.810386168142887</v>
      </c>
      <c r="H58">
        <v>2.1331157819864579</v>
      </c>
      <c r="I58">
        <v>1.2298451361230791</v>
      </c>
      <c r="J58">
        <v>1.303099520654047</v>
      </c>
      <c r="K58">
        <v>2.1197087774154149</v>
      </c>
      <c r="L58">
        <v>1.0976483839900559</v>
      </c>
      <c r="M58">
        <v>0.32997705207209188</v>
      </c>
      <c r="N58">
        <v>0.36675510755299001</v>
      </c>
      <c r="O58">
        <v>0.32880861899716929</v>
      </c>
      <c r="P58">
        <v>0.47185595250321299</v>
      </c>
      <c r="Q58">
        <v>0.41198261759538313</v>
      </c>
      <c r="R58">
        <v>0.30031821015032939</v>
      </c>
      <c r="S58">
        <v>0.29733403867278518</v>
      </c>
      <c r="T58">
        <v>0.44168871058345949</v>
      </c>
      <c r="U58">
        <v>0.62567528023143948</v>
      </c>
      <c r="V58">
        <v>0.30746197334653469</v>
      </c>
    </row>
    <row r="59" spans="1:22" x14ac:dyDescent="0.2">
      <c r="A59" t="s">
        <v>191</v>
      </c>
      <c r="B59" t="s">
        <v>211</v>
      </c>
      <c r="C59">
        <v>1.053431107563092</v>
      </c>
      <c r="D59">
        <v>0.54826024573476984</v>
      </c>
      <c r="E59">
        <v>0.96418649099058495</v>
      </c>
      <c r="F59">
        <v>1.2299788023793741</v>
      </c>
      <c r="G59">
        <v>1.122788950102473</v>
      </c>
      <c r="H59">
        <v>0.5133083791591575</v>
      </c>
      <c r="I59">
        <v>0.39919074826531442</v>
      </c>
      <c r="J59">
        <v>0.71474484354477597</v>
      </c>
      <c r="K59">
        <v>1.4412863775278499</v>
      </c>
      <c r="L59">
        <v>0.75991215364974707</v>
      </c>
      <c r="M59">
        <v>0.26690782749031389</v>
      </c>
      <c r="N59">
        <v>0.42349943530453948</v>
      </c>
      <c r="O59">
        <v>1.26790220439992</v>
      </c>
      <c r="P59">
        <v>0.43180158435586669</v>
      </c>
      <c r="Q59">
        <v>0.96027907694052905</v>
      </c>
      <c r="R59">
        <v>0.87305607522125306</v>
      </c>
      <c r="S59">
        <v>0.34352478383181517</v>
      </c>
      <c r="T59">
        <v>0.45465901672923797</v>
      </c>
      <c r="U59">
        <v>1.095556423901634</v>
      </c>
      <c r="V59">
        <v>1.3696139395006459</v>
      </c>
    </row>
    <row r="60" spans="1:22" x14ac:dyDescent="0.2">
      <c r="A60" t="s">
        <v>191</v>
      </c>
      <c r="B60" t="s">
        <v>174</v>
      </c>
      <c r="C60">
        <v>6.4341112231767097E-2</v>
      </c>
      <c r="D60">
        <v>0.1179395226562</v>
      </c>
      <c r="E60">
        <v>0.15872057613118701</v>
      </c>
      <c r="F60">
        <v>0.119761877250979</v>
      </c>
      <c r="G60">
        <v>4.5607208120338402E-2</v>
      </c>
      <c r="H60">
        <v>5.8428706780789097E-2</v>
      </c>
      <c r="I60">
        <v>4.1631311039370199E-2</v>
      </c>
      <c r="J60">
        <v>4.2946702130030601E-2</v>
      </c>
      <c r="K60">
        <v>1.61657421912389E-2</v>
      </c>
      <c r="L60">
        <v>3.9714580150543598E-2</v>
      </c>
      <c r="M60">
        <v>0.62330247269348305</v>
      </c>
      <c r="N60">
        <v>1.50931402449255</v>
      </c>
      <c r="O60">
        <v>0.58657216879621799</v>
      </c>
      <c r="P60">
        <v>2.1866927210993499</v>
      </c>
      <c r="Q60">
        <v>1.4953418138089301</v>
      </c>
      <c r="R60">
        <v>0.18324112647347099</v>
      </c>
      <c r="S60">
        <v>0.115135038350226</v>
      </c>
      <c r="T60">
        <v>0.19238915178782601</v>
      </c>
      <c r="U60">
        <v>8.5969766370124504E-2</v>
      </c>
      <c r="V60">
        <v>4.4715066837477502E-2</v>
      </c>
    </row>
    <row r="61" spans="1:22" x14ac:dyDescent="0.2">
      <c r="A61" t="s">
        <v>191</v>
      </c>
      <c r="B61" t="s">
        <v>209</v>
      </c>
      <c r="C61">
        <v>0.55932775687328162</v>
      </c>
      <c r="D61">
        <v>0.76850544444434121</v>
      </c>
      <c r="E61">
        <v>0.36644944630327092</v>
      </c>
      <c r="F61">
        <v>0.26165306230425189</v>
      </c>
      <c r="G61">
        <v>0.15779564051537071</v>
      </c>
      <c r="H61">
        <v>0.73788594974358945</v>
      </c>
      <c r="I61">
        <v>0.32293975324439589</v>
      </c>
      <c r="J61">
        <v>0.5418898091535812</v>
      </c>
      <c r="K61">
        <v>0.59849465000549396</v>
      </c>
      <c r="L61">
        <v>0.28802312638988881</v>
      </c>
      <c r="M61">
        <v>0</v>
      </c>
      <c r="N61">
        <v>3.2743346134954311E-2</v>
      </c>
      <c r="O61">
        <v>2.5127387368877499E-2</v>
      </c>
      <c r="P61">
        <v>6.6661097045443698E-3</v>
      </c>
      <c r="Q61">
        <v>1.153218924873166E-2</v>
      </c>
      <c r="R61">
        <v>0.21261635775082799</v>
      </c>
      <c r="S61">
        <v>0.26361011461323708</v>
      </c>
      <c r="T61">
        <v>0.12106363610970849</v>
      </c>
      <c r="U61">
        <v>0.25493394826253829</v>
      </c>
      <c r="V61">
        <v>0.21877342786372711</v>
      </c>
    </row>
    <row r="62" spans="1:22" x14ac:dyDescent="0.2">
      <c r="A62" t="s">
        <v>193</v>
      </c>
      <c r="B62" t="s">
        <v>206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8.7698700262469603E-3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2.0827588823990801E-3</v>
      </c>
      <c r="S62">
        <v>2.0440752481302581E-2</v>
      </c>
      <c r="T62">
        <v>1.11963378711497E-2</v>
      </c>
      <c r="U62">
        <v>7.1515892777560697E-3</v>
      </c>
      <c r="V62">
        <v>0</v>
      </c>
    </row>
    <row r="63" spans="1:22" x14ac:dyDescent="0.2">
      <c r="A63" t="s">
        <v>193</v>
      </c>
      <c r="B63" t="s">
        <v>180</v>
      </c>
      <c r="C63">
        <v>1.2425999659580599E-3</v>
      </c>
      <c r="D63">
        <v>1.422257032317328E-2</v>
      </c>
      <c r="E63">
        <v>7.4269202452580596E-3</v>
      </c>
      <c r="F63">
        <v>0</v>
      </c>
      <c r="G63">
        <v>0</v>
      </c>
      <c r="H63">
        <v>0</v>
      </c>
      <c r="I63">
        <v>0</v>
      </c>
      <c r="J63">
        <v>2.8568831435661001E-3</v>
      </c>
      <c r="K63">
        <v>2.0274846489251139E-2</v>
      </c>
      <c r="L63">
        <v>2.1351343095056839E-2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1.5996279862739798E-2</v>
      </c>
      <c r="U63">
        <v>0</v>
      </c>
      <c r="V63">
        <v>0</v>
      </c>
    </row>
    <row r="64" spans="1:22" x14ac:dyDescent="0.2">
      <c r="A64" t="s">
        <v>153</v>
      </c>
      <c r="B64" t="s">
        <v>207</v>
      </c>
      <c r="C64">
        <v>0</v>
      </c>
      <c r="D64">
        <v>0</v>
      </c>
      <c r="E64">
        <v>7.2574479999999997E-3</v>
      </c>
      <c r="F64">
        <v>0</v>
      </c>
      <c r="G64">
        <v>0</v>
      </c>
      <c r="H64">
        <v>0</v>
      </c>
      <c r="I64">
        <v>0</v>
      </c>
      <c r="J64">
        <v>0</v>
      </c>
      <c r="K64">
        <v>4.2934211E-2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</row>
    <row r="65" spans="1:22" x14ac:dyDescent="0.2">
      <c r="A65" t="s">
        <v>153</v>
      </c>
      <c r="B65" t="s">
        <v>209</v>
      </c>
      <c r="C65">
        <v>0</v>
      </c>
      <c r="D65">
        <v>1.0943318E-2</v>
      </c>
      <c r="E65">
        <v>5.9091339999999999E-3</v>
      </c>
      <c r="F65">
        <v>1.2590054E-2</v>
      </c>
      <c r="G65">
        <v>0</v>
      </c>
      <c r="H65">
        <v>4.6798450000000002E-3</v>
      </c>
      <c r="I65">
        <v>7.1278300000000004E-4</v>
      </c>
      <c r="J65">
        <v>2.3144893999999999E-2</v>
      </c>
      <c r="K65">
        <v>2.4137764999999999E-2</v>
      </c>
      <c r="L65">
        <v>7.8733080000000007E-3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5.9073499999999996E-3</v>
      </c>
      <c r="U65">
        <v>0</v>
      </c>
      <c r="V65">
        <v>0</v>
      </c>
    </row>
    <row r="66" spans="1:22" x14ac:dyDescent="0.2">
      <c r="A66" t="s">
        <v>156</v>
      </c>
      <c r="B66" t="s">
        <v>175</v>
      </c>
      <c r="C66">
        <v>7.2043158999999996E-2</v>
      </c>
      <c r="D66">
        <v>4.6963930000000001E-2</v>
      </c>
      <c r="E66">
        <v>4.3503121999999998E-2</v>
      </c>
      <c r="F66">
        <v>5.7969845000000013E-2</v>
      </c>
      <c r="G66">
        <v>1.8061712000000001E-2</v>
      </c>
      <c r="H66">
        <v>6.1356577000000002E-2</v>
      </c>
      <c r="I66">
        <v>1.7666233E-2</v>
      </c>
      <c r="J66">
        <v>7.1220972000000007E-2</v>
      </c>
      <c r="K66">
        <v>3.4377013999999997E-2</v>
      </c>
      <c r="L66">
        <v>1.0925432000000001E-2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</row>
    <row r="67" spans="1:22" x14ac:dyDescent="0.2">
      <c r="A67" t="s">
        <v>156</v>
      </c>
      <c r="B67" t="s">
        <v>209</v>
      </c>
      <c r="C67">
        <v>0.103264779</v>
      </c>
      <c r="D67">
        <v>8.0994281000000001E-2</v>
      </c>
      <c r="E67">
        <v>2.9772698E-2</v>
      </c>
      <c r="F67">
        <v>9.5027690999999997E-2</v>
      </c>
      <c r="G67">
        <v>1.0382249E-2</v>
      </c>
      <c r="H67">
        <v>7.3732860999999997E-2</v>
      </c>
      <c r="I67">
        <v>0.104355005</v>
      </c>
      <c r="J67">
        <v>1.8294699000000001E-2</v>
      </c>
      <c r="K67">
        <v>0.15549505399999999</v>
      </c>
      <c r="L67">
        <v>1.7535512E-2</v>
      </c>
      <c r="M67">
        <v>0</v>
      </c>
      <c r="N67">
        <v>0</v>
      </c>
      <c r="O67">
        <v>0</v>
      </c>
      <c r="P67">
        <v>3.6934350000000001E-3</v>
      </c>
      <c r="Q67">
        <v>0</v>
      </c>
      <c r="R67">
        <v>0</v>
      </c>
      <c r="S67">
        <v>0</v>
      </c>
      <c r="T67">
        <v>0</v>
      </c>
      <c r="U67">
        <v>3.1996411000000002E-2</v>
      </c>
      <c r="V67">
        <v>0</v>
      </c>
    </row>
    <row r="68" spans="1:22" x14ac:dyDescent="0.2">
      <c r="A68" t="s">
        <v>135</v>
      </c>
      <c r="B68" t="s">
        <v>214</v>
      </c>
      <c r="C68">
        <v>0</v>
      </c>
      <c r="D68">
        <v>4.2587850000000002E-3</v>
      </c>
      <c r="E68">
        <v>7.2755679999999996E-3</v>
      </c>
      <c r="F68">
        <v>0</v>
      </c>
      <c r="G68">
        <v>4.7671579999999996E-3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</row>
    <row r="69" spans="1:22" x14ac:dyDescent="0.2">
      <c r="A69" t="s">
        <v>135</v>
      </c>
      <c r="B69" t="s">
        <v>206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1.1281263E-2</v>
      </c>
      <c r="S69">
        <v>0</v>
      </c>
      <c r="T69">
        <v>0</v>
      </c>
      <c r="U69">
        <v>0</v>
      </c>
      <c r="V69">
        <v>1.577717E-3</v>
      </c>
    </row>
    <row r="70" spans="1:22" x14ac:dyDescent="0.2">
      <c r="A70" t="s">
        <v>135</v>
      </c>
      <c r="B70" t="s">
        <v>221</v>
      </c>
      <c r="C70">
        <v>0</v>
      </c>
      <c r="D70">
        <v>1.0101044999999999E-2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</row>
    <row r="71" spans="1:22" x14ac:dyDescent="0.2">
      <c r="A71" t="s">
        <v>135</v>
      </c>
      <c r="B71" t="s">
        <v>207</v>
      </c>
      <c r="C71">
        <v>0</v>
      </c>
      <c r="D71">
        <v>1.5894638999999999E-2</v>
      </c>
      <c r="E71">
        <v>0</v>
      </c>
      <c r="F71">
        <v>0</v>
      </c>
      <c r="G71">
        <v>0</v>
      </c>
      <c r="H71">
        <v>8.9635589999999994E-3</v>
      </c>
      <c r="I71">
        <v>1.7541646000000001E-2</v>
      </c>
      <c r="J71">
        <v>0</v>
      </c>
      <c r="K71">
        <v>0</v>
      </c>
      <c r="L71">
        <v>6.9238579999999997E-3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</row>
    <row r="72" spans="1:22" x14ac:dyDescent="0.2">
      <c r="A72" t="s">
        <v>150</v>
      </c>
      <c r="B72" t="s">
        <v>207</v>
      </c>
      <c r="C72">
        <v>4.7029933000000003E-2</v>
      </c>
      <c r="D72">
        <v>7.7663860000000001E-3</v>
      </c>
      <c r="E72">
        <v>7.8380242000000003E-2</v>
      </c>
      <c r="F72">
        <v>0.19804259499999999</v>
      </c>
      <c r="G72">
        <v>7.7620369999999994E-3</v>
      </c>
      <c r="H72">
        <v>4.5247664999999999E-2</v>
      </c>
      <c r="I72">
        <v>1.6371244E-2</v>
      </c>
      <c r="J72">
        <v>1.5656666E-2</v>
      </c>
      <c r="K72">
        <v>8.0648260999999999E-2</v>
      </c>
      <c r="L72">
        <v>1.5376934E-2</v>
      </c>
      <c r="M72">
        <v>0</v>
      </c>
      <c r="N72">
        <v>8.3496925999999999E-2</v>
      </c>
      <c r="O72">
        <v>3.8994542E-2</v>
      </c>
      <c r="P72">
        <v>3.1131432000000001E-2</v>
      </c>
      <c r="Q72">
        <v>0</v>
      </c>
      <c r="R72">
        <v>5.3131180000000004E-3</v>
      </c>
      <c r="S72">
        <v>0</v>
      </c>
      <c r="T72">
        <v>0</v>
      </c>
      <c r="U72">
        <v>2.0584475000000001E-2</v>
      </c>
      <c r="V72">
        <v>1.6016585999999999E-2</v>
      </c>
    </row>
    <row r="73" spans="1:22" x14ac:dyDescent="0.2">
      <c r="A73" t="s">
        <v>150</v>
      </c>
      <c r="B73" t="s">
        <v>175</v>
      </c>
      <c r="C73">
        <v>4.8888650000000013E-2</v>
      </c>
      <c r="D73">
        <v>2.6116721999999998E-2</v>
      </c>
      <c r="E73">
        <v>8.1639632000000004E-2</v>
      </c>
      <c r="F73">
        <v>4.0136445E-2</v>
      </c>
      <c r="G73">
        <v>1.1578968E-2</v>
      </c>
      <c r="H73">
        <v>2.9354934999999999E-2</v>
      </c>
      <c r="I73">
        <v>1.7157103E-2</v>
      </c>
      <c r="J73">
        <v>6.6966998E-2</v>
      </c>
      <c r="K73">
        <v>6.5239119999999998E-2</v>
      </c>
      <c r="L73">
        <v>2.3367458000000001E-2</v>
      </c>
      <c r="M73">
        <v>0</v>
      </c>
      <c r="N73">
        <v>3.1036406999999998E-2</v>
      </c>
      <c r="O73">
        <v>5.7994496E-2</v>
      </c>
      <c r="P73">
        <v>3.0095109999999999E-3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</row>
    <row r="74" spans="1:22" x14ac:dyDescent="0.2">
      <c r="A74" t="s">
        <v>150</v>
      </c>
      <c r="B74" t="s">
        <v>209</v>
      </c>
      <c r="C74">
        <v>0</v>
      </c>
      <c r="D74">
        <v>0</v>
      </c>
      <c r="E74">
        <v>0</v>
      </c>
      <c r="F74">
        <v>4.5983232999999998E-2</v>
      </c>
      <c r="G74">
        <v>0</v>
      </c>
      <c r="H74">
        <v>2.6033433000000002E-2</v>
      </c>
      <c r="I74">
        <v>8.9403339999999994E-3</v>
      </c>
      <c r="J74">
        <v>6.5264700000000004E-3</v>
      </c>
      <c r="K74">
        <v>3.8334025000000001E-2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5.84857E-3</v>
      </c>
      <c r="U74">
        <v>0</v>
      </c>
      <c r="V74">
        <v>0</v>
      </c>
    </row>
    <row r="75" spans="1:22" x14ac:dyDescent="0.2">
      <c r="A75" t="s">
        <v>151</v>
      </c>
      <c r="B75" t="s">
        <v>207</v>
      </c>
      <c r="C75">
        <v>9.9553101000000005E-2</v>
      </c>
      <c r="D75">
        <v>0.14811163599999999</v>
      </c>
      <c r="E75">
        <v>0.25977700100000001</v>
      </c>
      <c r="F75">
        <v>8.5801162E-2</v>
      </c>
      <c r="G75">
        <v>0.13862348199999999</v>
      </c>
      <c r="H75">
        <v>0.116202611</v>
      </c>
      <c r="I75">
        <v>0.280655604</v>
      </c>
      <c r="J75">
        <v>0.22251156899999999</v>
      </c>
      <c r="K75">
        <v>0.24756708699999999</v>
      </c>
      <c r="L75">
        <v>0.27224675700000001</v>
      </c>
      <c r="M75">
        <v>1.9894149E-2</v>
      </c>
      <c r="N75">
        <v>0</v>
      </c>
      <c r="O75">
        <v>0.10334241399999999</v>
      </c>
      <c r="P75">
        <v>1.7473827000000001E-2</v>
      </c>
      <c r="Q75">
        <v>1.213378E-3</v>
      </c>
      <c r="R75">
        <v>4.3557776999999999E-2</v>
      </c>
      <c r="S75">
        <v>0.109425325</v>
      </c>
      <c r="T75">
        <v>4.2992572999999999E-2</v>
      </c>
      <c r="U75">
        <v>6.5846721999999996E-2</v>
      </c>
      <c r="V75">
        <v>6.1492884999999997E-2</v>
      </c>
    </row>
    <row r="76" spans="1:22" x14ac:dyDescent="0.2">
      <c r="A76" t="s">
        <v>151</v>
      </c>
      <c r="B76" t="s">
        <v>211</v>
      </c>
      <c r="C76">
        <v>0.18350517399999999</v>
      </c>
      <c r="D76">
        <v>9.4151219999999994E-2</v>
      </c>
      <c r="E76">
        <v>0.61386778899999994</v>
      </c>
      <c r="F76">
        <v>0.39576783500000001</v>
      </c>
      <c r="G76">
        <v>0.188169634</v>
      </c>
      <c r="H76">
        <v>0.26893425199999998</v>
      </c>
      <c r="I76">
        <v>0.12076458399999999</v>
      </c>
      <c r="J76">
        <v>0.28959331199999999</v>
      </c>
      <c r="K76">
        <v>0.35221004500000003</v>
      </c>
      <c r="L76">
        <v>0.14960637199999999</v>
      </c>
      <c r="M76">
        <v>3.9486229999999997E-2</v>
      </c>
      <c r="N76">
        <v>9.6406601999999994E-2</v>
      </c>
      <c r="O76">
        <v>0.127227122</v>
      </c>
      <c r="P76">
        <v>0.15835479299999999</v>
      </c>
      <c r="Q76">
        <v>7.9160169000000002E-2</v>
      </c>
      <c r="R76">
        <v>7.1641699000000003E-2</v>
      </c>
      <c r="S76">
        <v>6.5491688000000006E-2</v>
      </c>
      <c r="T76">
        <v>4.9807480000000001E-2</v>
      </c>
      <c r="U76">
        <v>1.2191112E-2</v>
      </c>
      <c r="V76">
        <v>4.2660966000000002E-2</v>
      </c>
    </row>
    <row r="77" spans="1:22" x14ac:dyDescent="0.2">
      <c r="A77" t="s">
        <v>151</v>
      </c>
      <c r="B77" t="s">
        <v>175</v>
      </c>
      <c r="C77">
        <v>3.3188591000000003E-2</v>
      </c>
      <c r="D77">
        <v>3.1807995999999998E-2</v>
      </c>
      <c r="E77">
        <v>0.111046741</v>
      </c>
      <c r="F77">
        <v>2.4064724999999999E-2</v>
      </c>
      <c r="G77">
        <v>0</v>
      </c>
      <c r="H77">
        <v>6.7177328999999994E-2</v>
      </c>
      <c r="I77">
        <v>1.4187374000000001E-2</v>
      </c>
      <c r="J77">
        <v>5.6160526000000002E-2</v>
      </c>
      <c r="K77">
        <v>5.3062611000000003E-2</v>
      </c>
      <c r="L77">
        <v>1.9205389E-2</v>
      </c>
      <c r="M77">
        <v>0</v>
      </c>
      <c r="N77">
        <v>2.2581487000000001E-2</v>
      </c>
      <c r="O77">
        <v>3.2865881E-2</v>
      </c>
      <c r="P77">
        <v>1.7983393E-2</v>
      </c>
      <c r="Q77">
        <v>1.5905193000000001E-2</v>
      </c>
      <c r="R77">
        <v>8.3382209999999998E-2</v>
      </c>
      <c r="S77">
        <v>6.8204956999999997E-2</v>
      </c>
      <c r="T77">
        <v>1.2603520999999999E-2</v>
      </c>
      <c r="U77">
        <v>6.7361849000000001E-2</v>
      </c>
      <c r="V77">
        <v>7.7929377999999994E-2</v>
      </c>
    </row>
    <row r="78" spans="1:22" x14ac:dyDescent="0.2">
      <c r="A78" t="s">
        <v>151</v>
      </c>
      <c r="B78" t="s">
        <v>208</v>
      </c>
      <c r="C78">
        <v>0.10833652100000001</v>
      </c>
      <c r="D78">
        <v>3.9621799999999999E-2</v>
      </c>
      <c r="E78">
        <v>0.10275967</v>
      </c>
      <c r="F78">
        <v>2.1161019999999999E-2</v>
      </c>
      <c r="G78">
        <v>9.7623210000000009E-3</v>
      </c>
      <c r="H78">
        <v>2.2921868000000001E-2</v>
      </c>
      <c r="I78">
        <v>3.1080927000000001E-2</v>
      </c>
      <c r="J78">
        <v>5.8718117E-2</v>
      </c>
      <c r="K78">
        <v>3.9392235999999997E-2</v>
      </c>
      <c r="L78">
        <v>4.3142697000000001E-2</v>
      </c>
      <c r="M78">
        <v>0</v>
      </c>
      <c r="N78">
        <v>0</v>
      </c>
      <c r="O78">
        <v>0</v>
      </c>
      <c r="P78">
        <v>0</v>
      </c>
      <c r="Q78">
        <v>0</v>
      </c>
      <c r="R78">
        <v>7.0407660000000004E-3</v>
      </c>
      <c r="S78">
        <v>0</v>
      </c>
      <c r="T78">
        <v>0</v>
      </c>
      <c r="U78">
        <v>0</v>
      </c>
      <c r="V78">
        <v>1.1687381E-2</v>
      </c>
    </row>
    <row r="79" spans="1:22" x14ac:dyDescent="0.2">
      <c r="A79" t="s">
        <v>151</v>
      </c>
      <c r="B79" t="s">
        <v>209</v>
      </c>
      <c r="C79">
        <v>0.14090093200000001</v>
      </c>
      <c r="D79">
        <v>0.11228693100000001</v>
      </c>
      <c r="E79">
        <v>8.4432189000000005E-2</v>
      </c>
      <c r="F79">
        <v>0.226324466</v>
      </c>
      <c r="G79">
        <v>3.4642004999999997E-2</v>
      </c>
      <c r="H79">
        <v>0.12326798899999999</v>
      </c>
      <c r="I79">
        <v>0.110351965</v>
      </c>
      <c r="J79">
        <v>0.14675861800000001</v>
      </c>
      <c r="K79">
        <v>0.14629210300000001</v>
      </c>
      <c r="L79">
        <v>0.12937849900000001</v>
      </c>
      <c r="M79">
        <v>0</v>
      </c>
      <c r="N79">
        <v>0</v>
      </c>
      <c r="O79">
        <v>0</v>
      </c>
      <c r="P79">
        <v>1.2669168999999999E-2</v>
      </c>
      <c r="Q79">
        <v>0</v>
      </c>
      <c r="R79">
        <v>1.9833071000000001E-2</v>
      </c>
      <c r="S79">
        <v>7.8360166999999994E-2</v>
      </c>
      <c r="T79">
        <v>4.4342154000000002E-2</v>
      </c>
      <c r="U79">
        <v>6.9406160999999994E-2</v>
      </c>
      <c r="V79">
        <v>3.0212353000000001E-2</v>
      </c>
    </row>
    <row r="80" spans="1:22" x14ac:dyDescent="0.2">
      <c r="A80" t="s">
        <v>195</v>
      </c>
      <c r="B80" t="s">
        <v>207</v>
      </c>
      <c r="C80">
        <v>3.0944078999999999E-2</v>
      </c>
      <c r="D80">
        <v>2.6189094999999999E-2</v>
      </c>
      <c r="E80">
        <v>6.8438939999999997E-3</v>
      </c>
      <c r="F80">
        <v>3.4990389999999998E-3</v>
      </c>
      <c r="G80">
        <v>0</v>
      </c>
      <c r="H80">
        <v>1.8250769999999999E-2</v>
      </c>
      <c r="I80">
        <v>2.8840752000000001E-2</v>
      </c>
      <c r="J80">
        <v>3.3951364999999997E-2</v>
      </c>
      <c r="K80">
        <v>9.6798539999999999E-3</v>
      </c>
      <c r="L80">
        <v>3.3631999999999998E-4</v>
      </c>
      <c r="M80">
        <v>0</v>
      </c>
      <c r="N80">
        <v>4.4332299999999998E-3</v>
      </c>
      <c r="O80">
        <v>3.0477533000000001E-2</v>
      </c>
      <c r="P80">
        <v>1.5962319999999999E-3</v>
      </c>
      <c r="Q80">
        <v>5.4739662000000001E-2</v>
      </c>
      <c r="R80">
        <v>2.267083E-3</v>
      </c>
      <c r="S80">
        <v>7.7286710000000003E-3</v>
      </c>
      <c r="T80">
        <v>4.3144230000000004E-3</v>
      </c>
      <c r="U80">
        <v>3.6972849999999998E-3</v>
      </c>
      <c r="V80">
        <v>3.4644691999999998E-2</v>
      </c>
    </row>
    <row r="81" spans="1:22" x14ac:dyDescent="0.2">
      <c r="A81" t="s">
        <v>195</v>
      </c>
      <c r="B81" t="s">
        <v>211</v>
      </c>
      <c r="C81">
        <v>0</v>
      </c>
      <c r="D81">
        <v>0</v>
      </c>
      <c r="E81">
        <v>0</v>
      </c>
      <c r="F81">
        <v>5.9091020000000001E-2</v>
      </c>
      <c r="G81">
        <v>0</v>
      </c>
      <c r="H81">
        <v>3.720133E-3</v>
      </c>
      <c r="I81">
        <v>0</v>
      </c>
      <c r="J81">
        <v>9.0308260000000005E-3</v>
      </c>
      <c r="K81">
        <v>9.8345300000000002E-4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3.5771380000000001E-3</v>
      </c>
      <c r="S81">
        <v>8.6836469999999992E-3</v>
      </c>
      <c r="T81">
        <v>2.6891666000000002E-2</v>
      </c>
      <c r="U81">
        <v>7.71582E-3</v>
      </c>
      <c r="V81">
        <v>0</v>
      </c>
    </row>
    <row r="82" spans="1:22" x14ac:dyDescent="0.2">
      <c r="A82" t="s">
        <v>195</v>
      </c>
      <c r="B82" t="s">
        <v>212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1.1118490999999999E-2</v>
      </c>
      <c r="N82">
        <v>0</v>
      </c>
      <c r="O82">
        <v>0</v>
      </c>
      <c r="P82">
        <v>0</v>
      </c>
      <c r="Q82">
        <v>0</v>
      </c>
      <c r="R82">
        <v>2.4993107000000001E-2</v>
      </c>
      <c r="S82">
        <v>2.3105443999999999E-2</v>
      </c>
      <c r="T82">
        <v>0</v>
      </c>
      <c r="U82">
        <v>7.1667759999999997E-3</v>
      </c>
      <c r="V82">
        <v>4.7950305999999998E-2</v>
      </c>
    </row>
    <row r="83" spans="1:22" x14ac:dyDescent="0.2">
      <c r="A83" t="s">
        <v>195</v>
      </c>
      <c r="B83" t="s">
        <v>210</v>
      </c>
      <c r="C83">
        <v>3.0185159999999999E-2</v>
      </c>
      <c r="D83">
        <v>2.9019135000000001E-2</v>
      </c>
      <c r="E83">
        <v>2.4787666E-2</v>
      </c>
      <c r="F83">
        <v>0</v>
      </c>
      <c r="G83">
        <v>0</v>
      </c>
      <c r="H83">
        <v>0</v>
      </c>
      <c r="I83">
        <v>0</v>
      </c>
      <c r="J83">
        <v>2.2015152999999999E-2</v>
      </c>
      <c r="K83">
        <v>7.4938310000000003E-3</v>
      </c>
      <c r="L83">
        <v>2.0969038999999998E-2</v>
      </c>
      <c r="M83">
        <v>0</v>
      </c>
      <c r="N83">
        <v>0.13093666300000001</v>
      </c>
      <c r="O83">
        <v>2.2619929E-2</v>
      </c>
      <c r="P83">
        <v>4.8500889999999998E-2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</row>
    <row r="84" spans="1:22" x14ac:dyDescent="0.2">
      <c r="A84" t="s">
        <v>196</v>
      </c>
      <c r="B84" t="s">
        <v>179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4.9099748999999998E-2</v>
      </c>
      <c r="R84">
        <v>0</v>
      </c>
      <c r="S84">
        <v>0</v>
      </c>
      <c r="T84">
        <v>0</v>
      </c>
      <c r="U84">
        <v>0</v>
      </c>
      <c r="V84">
        <v>4.0431290000000003E-3</v>
      </c>
    </row>
    <row r="85" spans="1:22" x14ac:dyDescent="0.2">
      <c r="A85" t="s">
        <v>196</v>
      </c>
      <c r="B85" t="s">
        <v>176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1.1039096E-2</v>
      </c>
      <c r="T85">
        <v>0</v>
      </c>
      <c r="U85">
        <v>0</v>
      </c>
      <c r="V85">
        <v>0</v>
      </c>
    </row>
    <row r="86" spans="1:22" x14ac:dyDescent="0.2">
      <c r="A86" t="s">
        <v>196</v>
      </c>
      <c r="B86" t="s">
        <v>224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</row>
    <row r="87" spans="1:22" x14ac:dyDescent="0.2">
      <c r="A87" t="s">
        <v>161</v>
      </c>
      <c r="B87" t="s">
        <v>207</v>
      </c>
      <c r="C87">
        <v>0.213373645</v>
      </c>
      <c r="D87">
        <v>0.22080546400000001</v>
      </c>
      <c r="E87">
        <v>0.36049661399999999</v>
      </c>
      <c r="F87">
        <v>0.20890571599999999</v>
      </c>
      <c r="G87">
        <v>0.14250080400000001</v>
      </c>
      <c r="H87">
        <v>0.24462405200000001</v>
      </c>
      <c r="I87">
        <v>0.274011703</v>
      </c>
      <c r="J87">
        <v>0.56076653399999998</v>
      </c>
      <c r="K87">
        <v>0.38545280100000001</v>
      </c>
      <c r="L87">
        <v>0.39457426200000001</v>
      </c>
      <c r="M87">
        <v>0.34437720199999999</v>
      </c>
      <c r="N87">
        <v>0.42591299700000002</v>
      </c>
      <c r="O87">
        <v>0.56743103900000003</v>
      </c>
      <c r="P87">
        <v>0.39026763199999998</v>
      </c>
      <c r="Q87">
        <v>0.53999144500000007</v>
      </c>
      <c r="R87">
        <v>0.26465929700000002</v>
      </c>
      <c r="S87">
        <v>0.258681208</v>
      </c>
      <c r="T87">
        <v>0.30571621799999998</v>
      </c>
      <c r="U87">
        <v>0.42656274500000002</v>
      </c>
      <c r="V87">
        <v>0.32230355900000002</v>
      </c>
    </row>
    <row r="88" spans="1:22" x14ac:dyDescent="0.2">
      <c r="A88" t="s">
        <v>161</v>
      </c>
      <c r="B88" t="s">
        <v>175</v>
      </c>
      <c r="C88">
        <v>0</v>
      </c>
      <c r="D88">
        <v>5.6064230000000001E-3</v>
      </c>
      <c r="E88">
        <v>1.6829950000000001E-3</v>
      </c>
      <c r="F88">
        <v>1.5171768E-2</v>
      </c>
      <c r="G88">
        <v>1.5819865999999998E-2</v>
      </c>
      <c r="H88">
        <v>7.307806E-3</v>
      </c>
      <c r="I88">
        <v>3.5028189999999999E-3</v>
      </c>
      <c r="J88">
        <v>4.5662810000000002E-3</v>
      </c>
      <c r="K88">
        <v>3.1784980000000001E-3</v>
      </c>
      <c r="L88">
        <v>2.6364579999999999E-3</v>
      </c>
      <c r="M88">
        <v>2.9817662000000002E-2</v>
      </c>
      <c r="N88">
        <v>0.35945629699999998</v>
      </c>
      <c r="O88">
        <v>0.55098639500000002</v>
      </c>
      <c r="P88">
        <v>0.32258494700000001</v>
      </c>
      <c r="Q88">
        <v>0.269060199</v>
      </c>
      <c r="R88">
        <v>2.8404664999999999E-2</v>
      </c>
      <c r="S88">
        <v>6.7535525999999999E-2</v>
      </c>
      <c r="T88">
        <v>2.1776666E-2</v>
      </c>
      <c r="U88">
        <v>1.2883842E-2</v>
      </c>
      <c r="V88">
        <v>4.5955139999999998E-2</v>
      </c>
    </row>
    <row r="89" spans="1:22" x14ac:dyDescent="0.2">
      <c r="A89" t="s">
        <v>161</v>
      </c>
      <c r="B89" t="s">
        <v>208</v>
      </c>
      <c r="C89">
        <v>0.105801803</v>
      </c>
      <c r="D89">
        <v>0.117927043</v>
      </c>
      <c r="E89">
        <v>4.8189712000000003E-2</v>
      </c>
      <c r="F89">
        <v>7.1097321000000005E-2</v>
      </c>
      <c r="G89">
        <v>5.5511263999999998E-2</v>
      </c>
      <c r="H89">
        <v>8.0235909999999994E-2</v>
      </c>
      <c r="I89">
        <v>0.144316366</v>
      </c>
      <c r="J89">
        <v>0.103105682</v>
      </c>
      <c r="K89">
        <v>8.2260711E-2</v>
      </c>
      <c r="L89">
        <v>4.7263289999999999E-2</v>
      </c>
      <c r="M89">
        <v>0</v>
      </c>
      <c r="N89">
        <v>3.323973E-3</v>
      </c>
      <c r="O89">
        <v>0</v>
      </c>
      <c r="P89">
        <v>0</v>
      </c>
      <c r="Q89">
        <v>0</v>
      </c>
      <c r="R89">
        <v>8.3008360000000007E-3</v>
      </c>
      <c r="S89">
        <v>1.045023E-3</v>
      </c>
      <c r="T89">
        <v>3.2387560000000002E-3</v>
      </c>
      <c r="U89">
        <v>0</v>
      </c>
      <c r="V89">
        <v>6.3108700000000001E-4</v>
      </c>
    </row>
    <row r="90" spans="1:22" x14ac:dyDescent="0.2">
      <c r="A90" t="s">
        <v>161</v>
      </c>
      <c r="B90" t="s">
        <v>225</v>
      </c>
      <c r="C90">
        <v>3.0613563E-2</v>
      </c>
      <c r="D90">
        <v>1.3818278999999999E-2</v>
      </c>
      <c r="E90">
        <v>3.0689339E-2</v>
      </c>
      <c r="F90">
        <v>5.2826107999999997E-2</v>
      </c>
      <c r="G90">
        <v>5.0161149999999998E-3</v>
      </c>
      <c r="H90">
        <v>6.6623746999999997E-2</v>
      </c>
      <c r="I90">
        <v>4.4614216999999998E-2</v>
      </c>
      <c r="J90">
        <v>6.5325029000000007E-2</v>
      </c>
      <c r="K90">
        <v>0.11431894200000001</v>
      </c>
      <c r="L90">
        <v>3.5214387999999999E-2</v>
      </c>
      <c r="M90">
        <v>0.320348358</v>
      </c>
      <c r="N90">
        <v>0.14683728099999999</v>
      </c>
      <c r="O90">
        <v>0.105400445</v>
      </c>
      <c r="P90">
        <v>0.16895745600000001</v>
      </c>
      <c r="Q90">
        <v>0.35213708100000002</v>
      </c>
      <c r="R90">
        <v>0.93891811800000002</v>
      </c>
      <c r="S90">
        <v>0.27552006299999998</v>
      </c>
      <c r="T90">
        <v>0.14396299100000001</v>
      </c>
      <c r="U90">
        <v>0.53546385799999996</v>
      </c>
      <c r="V90">
        <v>0.15078550600000001</v>
      </c>
    </row>
    <row r="91" spans="1:22" x14ac:dyDescent="0.2">
      <c r="A91" t="s">
        <v>161</v>
      </c>
      <c r="B91" t="s">
        <v>229</v>
      </c>
      <c r="C91">
        <v>0</v>
      </c>
      <c r="D91">
        <v>7.2335710000000003E-3</v>
      </c>
      <c r="E91">
        <v>0</v>
      </c>
      <c r="F91">
        <v>0</v>
      </c>
      <c r="G91">
        <v>0</v>
      </c>
      <c r="H91">
        <v>5.8919810000000001E-3</v>
      </c>
      <c r="I91">
        <v>0</v>
      </c>
      <c r="J91">
        <v>2.9328301000000001E-2</v>
      </c>
      <c r="K91">
        <v>5.8285350000000001E-3</v>
      </c>
      <c r="L91">
        <v>5.5722699999999998E-4</v>
      </c>
      <c r="M91">
        <v>0.70616314400000002</v>
      </c>
      <c r="N91">
        <v>0.66344087299999999</v>
      </c>
      <c r="O91">
        <v>0.54066185499999997</v>
      </c>
      <c r="P91">
        <v>0.38383236100000001</v>
      </c>
      <c r="Q91">
        <v>0.472238561</v>
      </c>
      <c r="R91">
        <v>2.6553093999999999E-2</v>
      </c>
      <c r="S91">
        <v>0</v>
      </c>
      <c r="T91">
        <v>2.0445896000000002E-2</v>
      </c>
      <c r="U91">
        <v>3.7124720000000001E-3</v>
      </c>
      <c r="V91">
        <v>9.4441999999999998E-3</v>
      </c>
    </row>
    <row r="92" spans="1:22" x14ac:dyDescent="0.2">
      <c r="A92" t="s">
        <v>136</v>
      </c>
      <c r="B92" t="s">
        <v>179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</row>
    <row r="93" spans="1:22" x14ac:dyDescent="0.2">
      <c r="A93" t="s">
        <v>157</v>
      </c>
      <c r="B93" t="s">
        <v>207</v>
      </c>
      <c r="C93">
        <v>5.6728890000000004E-3</v>
      </c>
      <c r="D93">
        <v>0</v>
      </c>
      <c r="E93">
        <v>2.5026419999999998E-3</v>
      </c>
      <c r="F93">
        <v>1.5042045E-2</v>
      </c>
      <c r="G93">
        <v>0</v>
      </c>
      <c r="H93">
        <v>2.1544780999999999E-2</v>
      </c>
      <c r="I93">
        <v>0</v>
      </c>
      <c r="J93">
        <v>0</v>
      </c>
      <c r="K93">
        <v>1.2698523999999999E-2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6.8512349999999998E-3</v>
      </c>
      <c r="S93">
        <v>2.4904022000000001E-2</v>
      </c>
      <c r="T93">
        <v>2.0483515000000001E-2</v>
      </c>
      <c r="U93">
        <v>2.5376343999999999E-2</v>
      </c>
      <c r="V93">
        <v>4.4866085E-2</v>
      </c>
    </row>
    <row r="94" spans="1:22" x14ac:dyDescent="0.2">
      <c r="A94" t="s">
        <v>157</v>
      </c>
      <c r="B94" t="s">
        <v>175</v>
      </c>
      <c r="C94">
        <v>0.20783779999999999</v>
      </c>
      <c r="D94">
        <v>0.28164382799999998</v>
      </c>
      <c r="E94">
        <v>0.31992887199999998</v>
      </c>
      <c r="F94">
        <v>0.31520538499999989</v>
      </c>
      <c r="G94">
        <v>0.17048012700000001</v>
      </c>
      <c r="H94">
        <v>0.41975646799999999</v>
      </c>
      <c r="I94">
        <v>0.37055604399999997</v>
      </c>
      <c r="J94">
        <v>0.57344091900000005</v>
      </c>
      <c r="K94">
        <v>0.92505888299999994</v>
      </c>
      <c r="L94">
        <v>0.52463892700000003</v>
      </c>
      <c r="M94">
        <v>0</v>
      </c>
      <c r="N94">
        <v>3.173286E-3</v>
      </c>
      <c r="O94">
        <v>0</v>
      </c>
      <c r="P94">
        <v>0</v>
      </c>
      <c r="Q94">
        <v>0</v>
      </c>
      <c r="R94">
        <v>2.3962139999999998E-3</v>
      </c>
      <c r="S94">
        <v>0</v>
      </c>
      <c r="T94">
        <v>0</v>
      </c>
      <c r="U94">
        <v>0</v>
      </c>
      <c r="V94">
        <v>3.092816E-3</v>
      </c>
    </row>
    <row r="95" spans="1:22" x14ac:dyDescent="0.2">
      <c r="A95" t="s">
        <v>157</v>
      </c>
      <c r="B95" t="s">
        <v>216</v>
      </c>
      <c r="C95">
        <v>4.7035689999999998E-2</v>
      </c>
      <c r="D95">
        <v>1.8332865E-2</v>
      </c>
      <c r="E95">
        <v>4.9178829999999996E-3</v>
      </c>
      <c r="F95">
        <v>1.9158425999999999E-2</v>
      </c>
      <c r="G95">
        <v>3.1467187000000001E-2</v>
      </c>
      <c r="H95">
        <v>4.5023981999999997E-2</v>
      </c>
      <c r="I95">
        <v>0</v>
      </c>
      <c r="J95">
        <v>1.7309280999999999E-2</v>
      </c>
      <c r="K95">
        <v>2.7775121999999999E-2</v>
      </c>
      <c r="L95">
        <v>9.7548948999999996E-2</v>
      </c>
      <c r="M95">
        <v>0</v>
      </c>
      <c r="N95">
        <v>9.1918920000000001E-3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57B74-ABFD-5140-8CC0-B36F263E0324}">
  <dimension ref="A1:Q26"/>
  <sheetViews>
    <sheetView workbookViewId="0"/>
  </sheetViews>
  <sheetFormatPr baseColWidth="10" defaultRowHeight="16" x14ac:dyDescent="0.2"/>
  <sheetData>
    <row r="1" spans="1:15" ht="19" x14ac:dyDescent="0.25">
      <c r="A1" s="13" t="s">
        <v>230</v>
      </c>
    </row>
    <row r="3" spans="1:15" x14ac:dyDescent="0.2">
      <c r="A3" s="12" t="s">
        <v>0</v>
      </c>
      <c r="B3" s="12" t="s">
        <v>88</v>
      </c>
      <c r="C3" s="12" t="s">
        <v>89</v>
      </c>
      <c r="D3" s="12" t="s">
        <v>90</v>
      </c>
      <c r="E3" s="12" t="s">
        <v>91</v>
      </c>
      <c r="F3" s="12" t="s">
        <v>92</v>
      </c>
      <c r="G3" s="12" t="s">
        <v>93</v>
      </c>
      <c r="H3" s="12" t="s">
        <v>94</v>
      </c>
      <c r="I3" s="12" t="s">
        <v>95</v>
      </c>
      <c r="J3" s="12" t="s">
        <v>96</v>
      </c>
      <c r="K3" s="12" t="s">
        <v>97</v>
      </c>
      <c r="L3" s="12" t="s">
        <v>98</v>
      </c>
      <c r="M3" s="12" t="s">
        <v>99</v>
      </c>
      <c r="N3" s="12" t="s">
        <v>100</v>
      </c>
      <c r="O3" s="12" t="s">
        <v>101</v>
      </c>
    </row>
    <row r="4" spans="1:15" x14ac:dyDescent="0.2">
      <c r="A4" s="22" t="s">
        <v>7</v>
      </c>
      <c r="B4" s="22" t="s">
        <v>6</v>
      </c>
      <c r="G4">
        <v>123.503614833824</v>
      </c>
      <c r="H4">
        <v>66.691704927090001</v>
      </c>
      <c r="I4">
        <v>82.015106583980213</v>
      </c>
      <c r="J4">
        <v>134.92132815560365</v>
      </c>
      <c r="K4">
        <v>93.267814842540261</v>
      </c>
      <c r="L4">
        <v>126.81375</v>
      </c>
      <c r="M4">
        <v>63.430529637140182</v>
      </c>
      <c r="N4">
        <v>101.834885334096</v>
      </c>
      <c r="O4">
        <v>119.43077696068379</v>
      </c>
    </row>
    <row r="5" spans="1:15" x14ac:dyDescent="0.2">
      <c r="A5" s="22" t="s">
        <v>7</v>
      </c>
      <c r="B5" s="22" t="s">
        <v>200</v>
      </c>
      <c r="H5">
        <v>13.8842953856763</v>
      </c>
      <c r="I5">
        <v>11.002118008911266</v>
      </c>
      <c r="K5">
        <v>19.4904339820236</v>
      </c>
      <c r="L5">
        <v>11.5859480846929</v>
      </c>
      <c r="O5">
        <v>12.533409900900001</v>
      </c>
    </row>
    <row r="6" spans="1:15" x14ac:dyDescent="0.2">
      <c r="A6" s="22" t="s">
        <v>7</v>
      </c>
      <c r="B6" s="22" t="s">
        <v>199</v>
      </c>
      <c r="H6">
        <v>10.243908741552699</v>
      </c>
      <c r="I6">
        <v>8.3727709143021194</v>
      </c>
      <c r="K6">
        <v>9.8139169580688499</v>
      </c>
      <c r="L6">
        <v>8.7820747536327008</v>
      </c>
      <c r="O6">
        <v>6.2452242240000002</v>
      </c>
    </row>
    <row r="7" spans="1:15" x14ac:dyDescent="0.2">
      <c r="A7" s="22" t="s">
        <v>5</v>
      </c>
      <c r="B7" s="22" t="s">
        <v>6</v>
      </c>
      <c r="G7">
        <v>69.993456331999994</v>
      </c>
      <c r="H7">
        <v>71.964427490847726</v>
      </c>
      <c r="I7">
        <v>47.707156790610867</v>
      </c>
      <c r="J7">
        <v>81.999394219999999</v>
      </c>
      <c r="K7">
        <v>60.884933659643934</v>
      </c>
      <c r="L7">
        <v>61.793500107673594</v>
      </c>
      <c r="M7">
        <v>78.144186735517891</v>
      </c>
      <c r="N7">
        <v>72.858002839889451</v>
      </c>
      <c r="O7">
        <v>77.292100706158791</v>
      </c>
    </row>
    <row r="8" spans="1:15" x14ac:dyDescent="0.2">
      <c r="A8" s="22" t="s">
        <v>5</v>
      </c>
      <c r="B8" s="22" t="s">
        <v>200</v>
      </c>
      <c r="H8">
        <v>10.106425373268248</v>
      </c>
      <c r="I8">
        <v>8.0149750287129411</v>
      </c>
      <c r="K8">
        <v>10.1774432739932</v>
      </c>
      <c r="L8">
        <v>7.3785243925418103</v>
      </c>
      <c r="O8">
        <v>14.465984560000001</v>
      </c>
    </row>
    <row r="9" spans="1:15" x14ac:dyDescent="0.2">
      <c r="A9" s="22" t="s">
        <v>5</v>
      </c>
      <c r="B9" s="22" t="s">
        <v>199</v>
      </c>
      <c r="H9">
        <v>7.8009146732108237</v>
      </c>
      <c r="I9">
        <v>5.4820838283324953</v>
      </c>
      <c r="K9">
        <v>5.864615874668007</v>
      </c>
      <c r="L9">
        <v>5.1853395888665599</v>
      </c>
      <c r="O9">
        <v>6.6789356522999999</v>
      </c>
    </row>
    <row r="19" spans="2:17" x14ac:dyDescent="0.2"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</row>
    <row r="20" spans="2:17" x14ac:dyDescent="0.2">
      <c r="B20" s="22"/>
      <c r="C20" s="22"/>
      <c r="D20" s="22"/>
    </row>
    <row r="21" spans="2:17" x14ac:dyDescent="0.2">
      <c r="B21" s="22"/>
      <c r="C21" s="22"/>
      <c r="D21" s="22"/>
    </row>
    <row r="22" spans="2:17" x14ac:dyDescent="0.2">
      <c r="B22" s="22"/>
      <c r="C22" s="22"/>
      <c r="D22" s="22"/>
    </row>
    <row r="23" spans="2:17" x14ac:dyDescent="0.2">
      <c r="B23" s="22"/>
      <c r="C23" s="22"/>
      <c r="D23" s="22"/>
    </row>
    <row r="24" spans="2:17" x14ac:dyDescent="0.2">
      <c r="B24" s="22"/>
      <c r="C24" s="22"/>
      <c r="D24" s="22"/>
    </row>
    <row r="25" spans="2:17" x14ac:dyDescent="0.2">
      <c r="B25" s="22"/>
      <c r="C25" s="22"/>
      <c r="D25" s="22"/>
    </row>
    <row r="26" spans="2:17" x14ac:dyDescent="0.2">
      <c r="B26" s="22"/>
      <c r="C26" s="22"/>
      <c r="D26" s="22"/>
    </row>
  </sheetData>
  <conditionalFormatting sqref="C4:F9">
    <cfRule type="dataBar" priority="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{FE112C70-5DBB-464E-A0E9-AD6AAF3EE309}</x14:id>
        </ext>
      </extLst>
    </cfRule>
  </conditionalFormatting>
  <conditionalFormatting sqref="E20:Q20 E25:P26 E24:H24 J24:K24 M24:Q24 E23:Q23 E21:P22">
    <cfRule type="dataBar" priority="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{924F779E-A91E-9542-A323-D519B671A71D}</x14:id>
        </ext>
      </extLst>
    </cfRule>
  </conditionalFormatting>
  <conditionalFormatting sqref="G4:O9">
    <cfRule type="dataBar" priority="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{A2260D62-7442-A948-BC83-E68DA1C801B2}</x14:id>
        </ext>
      </extLst>
    </cfRule>
  </conditionalFormatting>
  <conditionalFormatting sqref="I24">
    <cfRule type="dataBar" priority="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{A58E7953-8CF9-8346-B400-94E66FC500B0}</x14:id>
        </ext>
      </extLst>
    </cfRule>
  </conditionalFormatting>
  <conditionalFormatting sqref="L24">
    <cfRule type="dataBar" priority="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{3EA41128-D212-AD48-90AE-6B14E8D5E0A6}</x14:id>
        </ext>
      </extLst>
    </cfRule>
  </conditionalFormatting>
  <conditionalFormatting sqref="Q21:Q22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{11D4E870-F808-AA4F-ADA0-330946F8DFDE}</x14:id>
        </ext>
      </extLst>
    </cfRule>
  </conditionalFormatting>
  <conditionalFormatting sqref="Q25:Q26">
    <cfRule type="dataBar" priority="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{23A1467B-785A-6C48-B9E2-05A8EDE6E65E}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E112C70-5DBB-464E-A0E9-AD6AAF3EE30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C4:F9</xm:sqref>
        </x14:conditionalFormatting>
        <x14:conditionalFormatting xmlns:xm="http://schemas.microsoft.com/office/excel/2006/main">
          <x14:cfRule type="dataBar" id="{924F779E-A91E-9542-A323-D519B671A71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E20:Q20 E25:P26 E24:H24 J24:K24 M24:Q24 E23:Q23 E21:P22</xm:sqref>
        </x14:conditionalFormatting>
        <x14:conditionalFormatting xmlns:xm="http://schemas.microsoft.com/office/excel/2006/main">
          <x14:cfRule type="dataBar" id="{A2260D62-7442-A948-BC83-E68DA1C801B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G4:O9</xm:sqref>
        </x14:conditionalFormatting>
        <x14:conditionalFormatting xmlns:xm="http://schemas.microsoft.com/office/excel/2006/main">
          <x14:cfRule type="dataBar" id="{A58E7953-8CF9-8346-B400-94E66FC500B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I24</xm:sqref>
        </x14:conditionalFormatting>
        <x14:conditionalFormatting xmlns:xm="http://schemas.microsoft.com/office/excel/2006/main">
          <x14:cfRule type="dataBar" id="{3EA41128-D212-AD48-90AE-6B14E8D5E0A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11D4E870-F808-AA4F-ADA0-330946F8DFD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Q21:Q22</xm:sqref>
        </x14:conditionalFormatting>
        <x14:conditionalFormatting xmlns:xm="http://schemas.microsoft.com/office/excel/2006/main">
          <x14:cfRule type="dataBar" id="{23A1467B-785A-6C48-B9E2-05A8EDE6E65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Q25:Q26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Table S1</vt:lpstr>
      <vt:lpstr>Table S2</vt:lpstr>
      <vt:lpstr>Table S3</vt:lpstr>
      <vt:lpstr>Table S4</vt:lpstr>
      <vt:lpstr>Table S5</vt:lpstr>
      <vt:lpstr>Table S6</vt:lpstr>
      <vt:lpstr>Table S7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Xiaoyu Zhu (BIO - Postgraduate Researcher)</dc:creator>
  <cp:lastModifiedBy>Xiaoyu Zhu (BIO - Postgraduate Researcher)</cp:lastModifiedBy>
  <dcterms:created xsi:type="dcterms:W3CDTF">2023-11-21T13:12:06Z</dcterms:created>
  <dcterms:modified xsi:type="dcterms:W3CDTF">2026-03-16T17:10:13Z</dcterms:modified>
</cp:coreProperties>
</file>